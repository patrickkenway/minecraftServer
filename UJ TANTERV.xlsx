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gyetem\"/>
    </mc:Choice>
  </mc:AlternateContent>
  <xr:revisionPtr revIDLastSave="0" documentId="13_ncr:1_{A32E4C1C-B2F0-4C24-BBA1-118B723D5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TI_MI_spec" sheetId="1" r:id="rId1"/>
    <sheet name="Felvenni_Last" sheetId="3" r:id="rId2"/>
    <sheet name="Validált MI ismeretek" sheetId="2" r:id="rId3"/>
  </sheets>
  <definedNames>
    <definedName name="_xlnm.Print_Titles" localSheetId="0">PTI_MI_spec!$1:$5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3" l="1"/>
  <c r="N161" i="1"/>
  <c r="N91" i="1"/>
  <c r="E100" i="1"/>
  <c r="E161" i="1"/>
  <c r="P65" i="1"/>
  <c r="Q65" i="1"/>
  <c r="Q7" i="1"/>
  <c r="B161" i="1"/>
  <c r="E91" i="1" l="1"/>
  <c r="H342" i="1" l="1"/>
  <c r="I342" i="1"/>
  <c r="J342" i="1"/>
  <c r="K342" i="1"/>
  <c r="L342" i="1"/>
  <c r="G342" i="1"/>
  <c r="M398" i="1"/>
  <c r="M374" i="1"/>
  <c r="M361" i="1"/>
  <c r="M352" i="1"/>
  <c r="M341" i="1"/>
  <c r="M326" i="1"/>
  <c r="M309" i="1"/>
  <c r="M295" i="1"/>
  <c r="M282" i="1"/>
  <c r="M257" i="1"/>
  <c r="B230" i="1"/>
  <c r="B196" i="1"/>
  <c r="F49" i="1"/>
  <c r="D26" i="1"/>
</calcChain>
</file>

<file path=xl/sharedStrings.xml><?xml version="1.0" encoding="utf-8"?>
<sst xmlns="http://schemas.openxmlformats.org/spreadsheetml/2006/main" count="1815" uniqueCount="504">
  <si>
    <t>Logika és informatikai alkalmazásai ea</t>
  </si>
  <si>
    <t>Kurzus címe, típusa (ea, sz, gy, lab, konz stb.)</t>
  </si>
  <si>
    <t>Tárgyfelelős</t>
  </si>
  <si>
    <t>félévek</t>
  </si>
  <si>
    <t>tanóraszám (heti/féléves)</t>
  </si>
  <si>
    <t>MBNXK111E</t>
  </si>
  <si>
    <t>Diszkrét matematika I. ea</t>
  </si>
  <si>
    <t>Kollokvium</t>
  </si>
  <si>
    <t>MBNXK111G</t>
  </si>
  <si>
    <t>Diszkrét matematika I. gy</t>
  </si>
  <si>
    <t>Czédli Gábor</t>
  </si>
  <si>
    <t>Gyakorlati jegy</t>
  </si>
  <si>
    <t>MBNXLK311E</t>
  </si>
  <si>
    <t>Kalkulus I. ea</t>
  </si>
  <si>
    <t>Szabó Tamás</t>
  </si>
  <si>
    <t>MBNXK311G</t>
  </si>
  <si>
    <t>Kalkulus I. gy</t>
  </si>
  <si>
    <t>MBNXK262E</t>
  </si>
  <si>
    <t>A sztochasztika alapjai ea</t>
  </si>
  <si>
    <t>Viharos László</t>
  </si>
  <si>
    <t>Előfeltétel</t>
  </si>
  <si>
    <t>MBNXK262G</t>
  </si>
  <si>
    <t>A sztochasztika alapjai gy</t>
  </si>
  <si>
    <t>MBNX363E</t>
  </si>
  <si>
    <t>Alkalmazott statisztika ea</t>
  </si>
  <si>
    <t>MBNX363G</t>
  </si>
  <si>
    <t>Alkalmazott statisztika lab</t>
  </si>
  <si>
    <t>Operációkutatás I. ea</t>
  </si>
  <si>
    <t>Csendes Tibor</t>
  </si>
  <si>
    <t>Operációkutatás I. gy</t>
  </si>
  <si>
    <t>Közelítő és szimbolikus szám. I. ea</t>
  </si>
  <si>
    <t>Közelítő és szimbolikus szám. I. gy</t>
  </si>
  <si>
    <t>Algoritmusok és adatszerkezetek I. ea</t>
  </si>
  <si>
    <t>Farkas Richard</t>
  </si>
  <si>
    <t>Algoritmusok és adatszerkezetek I. gy</t>
  </si>
  <si>
    <t>Mesterséges intelligencia I. ea</t>
  </si>
  <si>
    <t>Jelasity Márk</t>
  </si>
  <si>
    <t>Mesterséges intelligencia I. gy</t>
  </si>
  <si>
    <t>Formális nyelvek ea</t>
  </si>
  <si>
    <t>Fülöp Zoltán</t>
  </si>
  <si>
    <t>MBNXK111E, MBNXK111G</t>
  </si>
  <si>
    <t>Formális nyelvek gy</t>
  </si>
  <si>
    <t>Iván Szabolcs</t>
  </si>
  <si>
    <t>Logika és informatikai alkalmazásai gy</t>
  </si>
  <si>
    <t>Bonyolultságelmélet ea</t>
  </si>
  <si>
    <t>Bonyolultságelmélet gy</t>
  </si>
  <si>
    <t xml:space="preserve">Összesen (kredit): </t>
  </si>
  <si>
    <t>IB104E</t>
  </si>
  <si>
    <t>Programozás alapjai ea</t>
  </si>
  <si>
    <t>Gergely Tamás</t>
  </si>
  <si>
    <t>IB104L</t>
  </si>
  <si>
    <t>Programozás alapjai lab</t>
  </si>
  <si>
    <t>IB162E</t>
  </si>
  <si>
    <t>Számítógép architektúrák ea</t>
  </si>
  <si>
    <t>Nagy Antal</t>
  </si>
  <si>
    <t>Operációs rendszerek ea</t>
  </si>
  <si>
    <t>Kató Zoltán</t>
  </si>
  <si>
    <t>Operációs rendszerek lab</t>
  </si>
  <si>
    <t>Programozás I. ea</t>
  </si>
  <si>
    <t>Ferenc Rudolf</t>
  </si>
  <si>
    <t>IB104E, IB104L</t>
  </si>
  <si>
    <t>Programozás I. lab</t>
  </si>
  <si>
    <t>Programozás II.ea</t>
  </si>
  <si>
    <t>Alexin Zoltán</t>
  </si>
  <si>
    <t>Programozás II. lab</t>
  </si>
  <si>
    <t>Számítógép-hálózatok ea</t>
  </si>
  <si>
    <t>Bilicki Vilmos</t>
  </si>
  <si>
    <t>Számítógép-hálózatok lab</t>
  </si>
  <si>
    <t>Adatbázisok ea</t>
  </si>
  <si>
    <t>Balázs Péter</t>
  </si>
  <si>
    <t xml:space="preserve">IB104E, MBNX111E </t>
  </si>
  <si>
    <t>Adatbázisok lab</t>
  </si>
  <si>
    <t>Programozási nyelvek</t>
  </si>
  <si>
    <t>Kertész Attila</t>
  </si>
  <si>
    <t>IB716E</t>
  </si>
  <si>
    <t>Információbiztonság ea</t>
  </si>
  <si>
    <t>Beszédes Árpád</t>
  </si>
  <si>
    <t>IB716L</t>
  </si>
  <si>
    <t>Információbiztonság lab</t>
  </si>
  <si>
    <t>Rendszerfejlesztés I. ea</t>
  </si>
  <si>
    <t>Gyimóthy Tibor</t>
  </si>
  <si>
    <t>Rendszerfejlesztés I. lab</t>
  </si>
  <si>
    <t>Webtervezés ea</t>
  </si>
  <si>
    <t>Holló Csaba</t>
  </si>
  <si>
    <t>Párhuzamos</t>
  </si>
  <si>
    <t>Webtervezés lab</t>
  </si>
  <si>
    <t>Digitális képfeldolgozás ea</t>
  </si>
  <si>
    <t>Palágyi Kálmán</t>
  </si>
  <si>
    <t>Digitális képfeldolgozás lab</t>
  </si>
  <si>
    <t>Összesen (kredit):</t>
  </si>
  <si>
    <t>MBNXK112E</t>
  </si>
  <si>
    <t>Diszkrét matematika II. ea</t>
  </si>
  <si>
    <t>MBNXK112G</t>
  </si>
  <si>
    <t>Diszkrét matematika II. gy</t>
  </si>
  <si>
    <t>MBNXK114E</t>
  </si>
  <si>
    <t>Diszkrét matematika III. ea</t>
  </si>
  <si>
    <t>Maróti Miklós</t>
  </si>
  <si>
    <t>MBNXK112E, MBNXK112G</t>
  </si>
  <si>
    <t>MBNXK114G</t>
  </si>
  <si>
    <t>Diszkrét matematika III. gy</t>
  </si>
  <si>
    <t>MBNXK313E</t>
  </si>
  <si>
    <t>Kalkulus II. ea</t>
  </si>
  <si>
    <t>Krisztin Tibor</t>
  </si>
  <si>
    <t>MBNXK311E, MBNXK311G</t>
  </si>
  <si>
    <t>MBNXK313G</t>
  </si>
  <si>
    <t>Kalkulus II. gy</t>
  </si>
  <si>
    <t>Algoritmusok és adatszerkezetek II. ea</t>
  </si>
  <si>
    <t>IBK304e, IBK304g</t>
  </si>
  <si>
    <t>Algoritmusok és adatszerkezetek II. gy</t>
  </si>
  <si>
    <t>Hardware és software rendszerek verifikációja ea</t>
  </si>
  <si>
    <t>IBK604e, IBK604g</t>
  </si>
  <si>
    <t>Hardware és software rendszerek verifikációja gy</t>
  </si>
  <si>
    <t>Döntéselméleti rendszerek ea</t>
  </si>
  <si>
    <t>Pluhár András</t>
  </si>
  <si>
    <t>Döntéselméleti rendszerek gy</t>
  </si>
  <si>
    <t>Funkcionális programozás és lambda kalkulus</t>
  </si>
  <si>
    <t>Új elvű számítások az informatikában</t>
  </si>
  <si>
    <t>Gazdag Zsolt</t>
  </si>
  <si>
    <t>Szintaktikus elemzési módszerek</t>
  </si>
  <si>
    <t>Adatbázis alapú rendszerek ea</t>
  </si>
  <si>
    <t>Adatbázis alapú rendszerek lab</t>
  </si>
  <si>
    <t>Rendszerfejlesztés II. ea</t>
  </si>
  <si>
    <t>IB153e, IB153l</t>
  </si>
  <si>
    <t>Rendszerfejlesztés II. gy</t>
  </si>
  <si>
    <t>Szkriptnyelvek ea</t>
  </si>
  <si>
    <t>Szkriptnyelvek lab</t>
  </si>
  <si>
    <t>Assembly programozás ea</t>
  </si>
  <si>
    <t>Tanács Attila</t>
  </si>
  <si>
    <t>Assembly programozás lab</t>
  </si>
  <si>
    <t>Számítógépes grafika ea</t>
  </si>
  <si>
    <t>Nyúl László</t>
  </si>
  <si>
    <t>Számítógépes grafika lab</t>
  </si>
  <si>
    <t>Multimédia ea</t>
  </si>
  <si>
    <t>Multimédia lab</t>
  </si>
  <si>
    <t>Digitális topológia és matematikai morfológia ea</t>
  </si>
  <si>
    <t>Digitális képek szegmentálása ea</t>
  </si>
  <si>
    <t>Varga László</t>
  </si>
  <si>
    <t>Vázkijelölés a képfeldolgozásban</t>
  </si>
  <si>
    <t>Képfeldolgozó programcsomagok</t>
  </si>
  <si>
    <t>Térinformatika ea</t>
  </si>
  <si>
    <t>Kardos Péter</t>
  </si>
  <si>
    <t>Térinformatika lab</t>
  </si>
  <si>
    <t>Számítógéppel támogatott tervezés ea</t>
  </si>
  <si>
    <t>Alkalmazásfejlesztés I. ea</t>
  </si>
  <si>
    <t>Kiss Ákos</t>
  </si>
  <si>
    <t>Alkalmazásfejlesztés I. lab</t>
  </si>
  <si>
    <t>Alkalmazásfejlesztés II. ea</t>
  </si>
  <si>
    <t>Alkalmazásfejlesztés II. lab</t>
  </si>
  <si>
    <t>Mobil alkalmazásfejlesztés ea</t>
  </si>
  <si>
    <t>Mobil alkalmazásfejlesztés lab</t>
  </si>
  <si>
    <t>Webfejlesztési keretrendszerek ea</t>
  </si>
  <si>
    <t>Havasi Ferenc</t>
  </si>
  <si>
    <t>Webfejlesztési keretrendszerek lab</t>
  </si>
  <si>
    <t>Multiplatform alkalmazásfejlesztés C++-ban</t>
  </si>
  <si>
    <t>Szoftvertesztelés alapjai ea</t>
  </si>
  <si>
    <t>Szoftvertesztelés alapjai gy</t>
  </si>
  <si>
    <t>Agilis szoftverfejlesztés ea</t>
  </si>
  <si>
    <t>Agilis szoftverfejlesztés lab</t>
  </si>
  <si>
    <t>Adatelemzés a szociális médiában ea</t>
  </si>
  <si>
    <t>Farkas Richárd</t>
  </si>
  <si>
    <t>Gazdasági informatika ea</t>
  </si>
  <si>
    <t>Bánhelyi Balázs</t>
  </si>
  <si>
    <t>Gazdasági informatika lab</t>
  </si>
  <si>
    <t>Társadalmi és gazdasági hálózatok modellezése ea</t>
  </si>
  <si>
    <t>London András</t>
  </si>
  <si>
    <t>KrisztinTibor</t>
  </si>
  <si>
    <t>Nyelv- és beszédfeldolgozás ea</t>
  </si>
  <si>
    <t>Mobil képalkotás és alkalmazásai ea</t>
  </si>
  <si>
    <t>Az Intézet minden előadás és gyakorlatból álló tárgyánál az előadás és a gyakorlat párhuzamos felvétele, az előadások vizsgáinak a gyakorlat teljesítettsége feltétel.</t>
  </si>
  <si>
    <t>Szak neve:</t>
  </si>
  <si>
    <t>Programtervező informatikus BSc</t>
  </si>
  <si>
    <t>Szakfelelős: Dr. Fülöp Zoltán</t>
  </si>
  <si>
    <t>Kurzuskód</t>
  </si>
  <si>
    <t>Előfeltétel (kurzus kódja)</t>
  </si>
  <si>
    <t>Nappali tagozat</t>
  </si>
  <si>
    <t>Programtervező informatikus BSc_N (2017) [BSZKPTI-N1]</t>
  </si>
  <si>
    <t>Kredit</t>
  </si>
  <si>
    <t>Teljesítés módja</t>
  </si>
  <si>
    <t>IBK203E</t>
  </si>
  <si>
    <t>IBK203G</t>
  </si>
  <si>
    <t>IBK301E</t>
  </si>
  <si>
    <t>IBK301G</t>
  </si>
  <si>
    <t>IBK304E</t>
  </si>
  <si>
    <t>IBK304G</t>
  </si>
  <si>
    <t>IBK154E</t>
  </si>
  <si>
    <t>IBK154G</t>
  </si>
  <si>
    <t>IBK604E</t>
  </si>
  <si>
    <t>IBK604G</t>
  </si>
  <si>
    <t xml:space="preserve">IB204E, MBNXK111E </t>
  </si>
  <si>
    <t xml:space="preserve">MBNXK311E </t>
  </si>
  <si>
    <t xml:space="preserve">MBNXK311E, MBNXK111E </t>
  </si>
  <si>
    <t>IB402E</t>
  </si>
  <si>
    <t>IB402G</t>
  </si>
  <si>
    <t>IB302E</t>
  </si>
  <si>
    <t>IB302G</t>
  </si>
  <si>
    <t>IB407E</t>
  </si>
  <si>
    <t>IB407G</t>
  </si>
  <si>
    <t>IB501E</t>
  </si>
  <si>
    <t>IB501G</t>
  </si>
  <si>
    <t>IB405E</t>
  </si>
  <si>
    <t>IB405G</t>
  </si>
  <si>
    <t>IB153E</t>
  </si>
  <si>
    <t>Nagy Antal/Kató Zoltán</t>
  </si>
  <si>
    <t>IB204E-00001</t>
  </si>
  <si>
    <t>IB204L</t>
  </si>
  <si>
    <t>IB153E, IB407E, IB153l, IB407G</t>
  </si>
  <si>
    <t>IB204L, IB204E</t>
  </si>
  <si>
    <t>IBK404E</t>
  </si>
  <si>
    <t>IBK404G</t>
  </si>
  <si>
    <t>IBK304E, IBK304G</t>
  </si>
  <si>
    <t>IBK604E, IBK604G</t>
  </si>
  <si>
    <t>IBK615E</t>
  </si>
  <si>
    <t>IBK615G</t>
  </si>
  <si>
    <t>IBK309E</t>
  </si>
  <si>
    <t>IBK309G</t>
  </si>
  <si>
    <t>IB077E</t>
  </si>
  <si>
    <t>IB076E</t>
  </si>
  <si>
    <t>IBK403E, IBK403G</t>
  </si>
  <si>
    <t>IB501E, IB501G</t>
  </si>
  <si>
    <t>IB078G</t>
  </si>
  <si>
    <t xml:space="preserve">Játékfejleszés Unity-ben </t>
  </si>
  <si>
    <t>Gyakorlat</t>
  </si>
  <si>
    <t>IB414-2E</t>
  </si>
  <si>
    <t>IB414-2G</t>
  </si>
  <si>
    <t>IB414-2G, IB414-2E</t>
  </si>
  <si>
    <t>IB570E</t>
  </si>
  <si>
    <t>IB570G</t>
  </si>
  <si>
    <t>IB470E</t>
  </si>
  <si>
    <t>IB470G</t>
  </si>
  <si>
    <t>IB471E</t>
  </si>
  <si>
    <t>IB471G</t>
  </si>
  <si>
    <t>IB472E</t>
  </si>
  <si>
    <t>IB302E, IB302G</t>
  </si>
  <si>
    <t>IBK004E</t>
  </si>
  <si>
    <t>IBK004G</t>
  </si>
  <si>
    <t>IB670E</t>
  </si>
  <si>
    <t>IB670G</t>
  </si>
  <si>
    <t>IBK911E</t>
  </si>
  <si>
    <t>IBK911G</t>
  </si>
  <si>
    <t>IB001E-00090</t>
  </si>
  <si>
    <t>[MK-DIF-EGYEB] Differenciált ismeretek: egyéb (aktuális választék a Neptun-ban érhető el)</t>
  </si>
  <si>
    <t>További, Neptunban megadott speciálkollégiumok</t>
  </si>
  <si>
    <t>[MK-TEGO] Tehetséggondozó technikai kurzusok (aktuális választék a Neptun-ban érhető el)</t>
  </si>
  <si>
    <t>További, Neptunban megadott tehetséggondozó kurzusok</t>
  </si>
  <si>
    <t>[MK-S-SZF] Szoftverfejlesztés specializáció. Részei: [MK-S-SZF-MATSZT], [MK-S-SZF-INF]</t>
  </si>
  <si>
    <t>[MK-S-SZF-MATSZT] Szoftverfejlesztés - differenciált matematikai és számítástudományi ismeretek. Teljesítendő min. 14 kredit. Részei: [MK-S-SZF-MATSZT-A], [MK-S-SZF-MATSZT-S]</t>
  </si>
  <si>
    <t>[MK-S-SZF-MATSZT-A] Szoftverfejlesztés - ajánlott matematikai és számítástudományi ismeretek. Teljesítendő min. 11 kredit.</t>
  </si>
  <si>
    <t>[MK-S-SZF-MATSZT-S] Szoftverfejlesztés - egyéb matematikai és számítástudományi ismeretek (aktuális választék a Neptun-ban érhető el)</t>
  </si>
  <si>
    <t>[MK-S-SZF-INF] Szoftverfejlesztés - differenciált informatikai ismeretek. Teljesítendő min. 38 kredit. Részei: [MK-S-SZF-INF-A], [MK-S-SZF-INF-S]</t>
  </si>
  <si>
    <t>[MK-S-SZF-INF-A] Szoftverfejlesztés - ajánlott informatikai ismeretek. Teljesítendő min. 30 kredit.</t>
  </si>
  <si>
    <t xml:space="preserve">IBK403E, IBK403G
</t>
  </si>
  <si>
    <t>IB001E-00076</t>
  </si>
  <si>
    <t>IB411E-00001</t>
  </si>
  <si>
    <t>IB08G</t>
  </si>
  <si>
    <t>IB080E</t>
  </si>
  <si>
    <t>IB001E-00082</t>
  </si>
  <si>
    <t>IB001E-00003</t>
  </si>
  <si>
    <t>IB001E-00015</t>
  </si>
  <si>
    <t>IB001E-00087</t>
  </si>
  <si>
    <t>IB001E-00095</t>
  </si>
  <si>
    <t>IB041G</t>
  </si>
  <si>
    <t>IB041E</t>
  </si>
  <si>
    <t>IB155L</t>
  </si>
  <si>
    <t>IB155E</t>
  </si>
  <si>
    <t>IB676L</t>
  </si>
  <si>
    <t>IB676E</t>
  </si>
  <si>
    <t>IB611G</t>
  </si>
  <si>
    <t>IB611E</t>
  </si>
  <si>
    <t>IB152L</t>
  </si>
  <si>
    <t>IB152E</t>
  </si>
  <si>
    <t>IB001E-00075</t>
  </si>
  <si>
    <t>IB042G</t>
  </si>
  <si>
    <t>IB042E</t>
  </si>
  <si>
    <t>IB714G</t>
  </si>
  <si>
    <t>IB714E</t>
  </si>
  <si>
    <t>IB153L</t>
  </si>
  <si>
    <t>IB153E, IB153L</t>
  </si>
  <si>
    <t>IB714E, IB714G</t>
  </si>
  <si>
    <t>IB204G, IB204E</t>
  </si>
  <si>
    <t>IB370G</t>
  </si>
  <si>
    <t>IB370E</t>
  </si>
  <si>
    <t xml:space="preserve">Digitális topológia és matematikai morfológia </t>
  </si>
  <si>
    <t xml:space="preserve">Digitális képek szegmentálása </t>
  </si>
  <si>
    <t xml:space="preserve">Mobil képalkotás és alkalmazásai </t>
  </si>
  <si>
    <t>IB080G</t>
  </si>
  <si>
    <t>Játékfejlesztés Unity-ben</t>
  </si>
  <si>
    <t>IBT007E</t>
  </si>
  <si>
    <t>IB202G, IB202E</t>
  </si>
  <si>
    <t>IB414G, IB414E</t>
  </si>
  <si>
    <t>Gyakorlat jegy</t>
  </si>
  <si>
    <t>IB204E</t>
  </si>
  <si>
    <t>IBK403E-TE</t>
  </si>
  <si>
    <t>IBK403G-TE</t>
  </si>
  <si>
    <t>IBK507E-TE</t>
  </si>
  <si>
    <t>IBK507G-TE</t>
  </si>
  <si>
    <t>[MK-S-SZF-INF-S] Szoftverfejlesztés - egyéb informatikai ismeretek (aktuális választék a Neptun-ban érhető el)</t>
  </si>
  <si>
    <t>[MK-S-MOD] Informatikai modellalkotás specializáció. Részei: [MK-S-MOD-MATSZT], [MK-S-MOD-INF]</t>
  </si>
  <si>
    <t>[MK-S-MOD-MATSZT] Modellalkotás - differenciált matematikai és számítástudományi ismeretek. Teljesítendő min. 29 kredit. Részei: [MK-S-MOD-MATSZT-A], [MK-S-MOD-MATSZT-S]</t>
  </si>
  <si>
    <t>[MK-S-MOD-MATSZT-S] Modellalkotás - egyéb matematikai és számítástudományi ismeretek (aktuális választék a Neptun-ban érhető el)</t>
  </si>
  <si>
    <t>[MK-S-MOD-INF-S] Modellalkotás - egyéb informatikai ismeretek (aktuális választék a Neptun-ban érhető el)</t>
  </si>
  <si>
    <t>[MK-S-KEP] Képfeldolgozás specializáció. Részei: [MK-S-KEP-MATSZT], [MK-S-KEP-INF]</t>
  </si>
  <si>
    <t>[MK-S-MOD-INF] Modellalkotás - differenciált informatikai ismeretek. Teljesítendő min. 23 kredit. Részei: [MK-S-MOD-INF-A], [MK-S-MOD-INF-S]</t>
  </si>
  <si>
    <t>[MK-S-MOD-INF-A] Modellalkotás - ajánlott informatikai ismeretek. Teljesítendő min. 17 kredit.</t>
  </si>
  <si>
    <t>[MK-S-KEP-MATSZT] Képfeldolgozás - differenciált matematikai és számítástudományi ismeretek. Teljesítendő min. 14 kredit. Részei: [MK-S-KEP-MATSZT-A], [MK-S-KEP-MATSZT-S]</t>
  </si>
  <si>
    <t>[MK-S-MOD-MATSZT-A] Modellalkotás - ajánlott matematikai és számítástudományi ismeretek. Teljesítendő min. 8 kredit.</t>
  </si>
  <si>
    <t>[MK-S-KEP-MATSZT-A] Képfeldolgozás - ajánlott matematikai és számítástudományi ismeretek. Teljesítendő min. 8 kredit.</t>
  </si>
  <si>
    <t>[MK-S-KEP-MATSZT-S] Képfeldolgozás - egyéb matematikai és számítástudományi ismeretek (aktuális választék a Neptun-ban érhető el)</t>
  </si>
  <si>
    <t>[MK-S-KEP-INF] Képfeldolgozás - differenciált informatikai ismeretek. Teljesítendő min. 38 kredit. Részei: [MK-S-KEP-INF-A], [MK-S-KEP-INF-S]</t>
  </si>
  <si>
    <t>[MK-S-KEP-INF-A] Képfeldolgozás - ajánlott informatikai ismeretek. Teljesítendő min. 18 kredit.</t>
  </si>
  <si>
    <t>[MK-S-KEP-INF-S] Képfeldolgozás - egyéb informatikai ismeretek (aktuális választék a Neptun-ban érhető el)</t>
  </si>
  <si>
    <t>Szakdolgozat készítése I.</t>
  </si>
  <si>
    <t>Szakdolgozat készítése II.</t>
  </si>
  <si>
    <t>SZTE szabályzatának megfelelően szabadon választott tárgyak</t>
  </si>
  <si>
    <t>[MK-SZG] Szakmai gyakorlat</t>
  </si>
  <si>
    <t>Szakmai gyakorlat</t>
  </si>
  <si>
    <t>Aláírás</t>
  </si>
  <si>
    <t xml:space="preserve">IB000pi17G </t>
  </si>
  <si>
    <t>[MK-SZV] Szabadon választott. Teljesítendő min. 10 kredit</t>
  </si>
  <si>
    <t>IB3000G</t>
  </si>
  <si>
    <t>IB3001G</t>
  </si>
  <si>
    <t>Elosztott szoftverrendszerek fejlesztésének általános és egészségügyi alkalmazása</t>
  </si>
  <si>
    <t>IB085E</t>
  </si>
  <si>
    <t>IB085G</t>
  </si>
  <si>
    <t>Megjegyzés</t>
  </si>
  <si>
    <t>IB001e-00055</t>
  </si>
  <si>
    <t>Képfeldolgozó Nyári Iskola</t>
  </si>
  <si>
    <t>Python programozás a gyakorlatban</t>
  </si>
  <si>
    <t>IB088g</t>
  </si>
  <si>
    <t>Antal Gábor</t>
  </si>
  <si>
    <t>Tavaszi</t>
  </si>
  <si>
    <t>IB089e</t>
  </si>
  <si>
    <t>Szövegfeldolgozás mesterséges intelligencia alapokon</t>
  </si>
  <si>
    <t>IB089g</t>
  </si>
  <si>
    <t>IB222E</t>
  </si>
  <si>
    <t>Funkcionális programozás a gyakorlatban</t>
  </si>
  <si>
    <t>IB222G</t>
  </si>
  <si>
    <t>Dr. Iván Szabolcs</t>
  </si>
  <si>
    <t>TT-IB204</t>
  </si>
  <si>
    <t>IB002e-00007</t>
  </si>
  <si>
    <t xml:space="preserve">	Bevezetés a mélytanulásba ea</t>
  </si>
  <si>
    <t xml:space="preserve">	Bevezetés a mélytanulásba gy</t>
  </si>
  <si>
    <t>Tóth László</t>
  </si>
  <si>
    <t>Berend Gábor</t>
  </si>
  <si>
    <t>IB002g-00007</t>
  </si>
  <si>
    <t>IB001e-10112</t>
  </si>
  <si>
    <t>IB001g-10112</t>
  </si>
  <si>
    <t>Számítógépes szemantika ea</t>
  </si>
  <si>
    <t>Számítógépes szemantika gy</t>
  </si>
  <si>
    <t>IB304uiG</t>
  </si>
  <si>
    <t>Algoritmusok és adatszerkezetek a gyakorlatban</t>
  </si>
  <si>
    <t>Kőrösi Gábor</t>
  </si>
  <si>
    <t>IB521E</t>
  </si>
  <si>
    <t>IB521G</t>
  </si>
  <si>
    <t>Gépi tanulás a gyakorlatban ea</t>
  </si>
  <si>
    <t>Gépi tanulás a gyakorlatban gy</t>
  </si>
  <si>
    <t>IB001e-00129</t>
  </si>
  <si>
    <t>Számítógépes beszédelemzés</t>
  </si>
  <si>
    <t>Gosztolya Gábor</t>
  </si>
  <si>
    <t>[MK-S-MI] Mesterséges intelligencia specializáció. Részei: [MK-S-MI-MATSZT], [MK-S-MI-INF]</t>
  </si>
  <si>
    <t>[MK-S-MI-MATSZT-S] Mesterséges intelligencia - egyéb matematikai és számítástudományi ismeretek (aktuális választék a Neptun-ban érhető el)</t>
  </si>
  <si>
    <t>[MK-S-MI-INF-S] Mesterséges intelligencia - egyéb informatikai ismeretek (aktuális választék a Neptun-ban érhető el)</t>
  </si>
  <si>
    <t>Békési József</t>
  </si>
  <si>
    <t>[MK-S-MI-MATSZT-A] Mesterséges intelligencia - ajánlott matematikai és számítástudományi ismeretek. Teljesítendő min. 12 kredit.</t>
  </si>
  <si>
    <t>[MK-S-MI-MATSZT] Mesterséges intelligencia - differenciált matematikai és számítástudományi ismeretek. Teljesítendő min. 17 kredit. Részei: [MK-S-MI-MATSZT-A], [MK-S-MI-MATSZT-S]</t>
  </si>
  <si>
    <t>[MK-S-MI-INF] Mesterséges intelligencia - differenciált informatikai ismeretek. Teljesítendő min. 35 kredit. Részei: [MK-S-MI-INF-A], [MK-S-MI-INF-S]</t>
  </si>
  <si>
    <t>Fuzzy rendszerek és mesterséges intelligencia</t>
  </si>
  <si>
    <t>IB683E</t>
  </si>
  <si>
    <t>IB683G</t>
  </si>
  <si>
    <t>Dombi József</t>
  </si>
  <si>
    <t>Robotika ea</t>
  </si>
  <si>
    <t>Robotika lab</t>
  </si>
  <si>
    <t>Intelligens rendszerek</t>
  </si>
  <si>
    <t>IB011e-00001</t>
  </si>
  <si>
    <t>Optimalizálási modellek</t>
  </si>
  <si>
    <t>Gazdag-Tóth Boglárka</t>
  </si>
  <si>
    <t>IBT009E</t>
  </si>
  <si>
    <t>Bánhelyi Balázs </t>
  </si>
  <si>
    <t xml:space="preserve">IB415ptiE </t>
  </si>
  <si>
    <t>IB415ptiG</t>
  </si>
  <si>
    <t xml:space="preserve">IB5141ptiE </t>
  </si>
  <si>
    <t>IB5141ptiG</t>
  </si>
  <si>
    <t>IB415ptiE, IB415ptiG</t>
  </si>
  <si>
    <t>Pletl Szilveszter</t>
  </si>
  <si>
    <t xml:space="preserve">Stanic Molcer Piroska </t>
  </si>
  <si>
    <t>Validalt mesterséges intelligencia ismeretek</t>
  </si>
  <si>
    <t>Validált mesterséges intelligencia kutatómunka</t>
  </si>
  <si>
    <t>Németh Gábor</t>
  </si>
  <si>
    <t>Igazságügyi képelemzés</t>
  </si>
  <si>
    <t>IB084e</t>
  </si>
  <si>
    <t>[MK-S-MI-INF-A] Mesterséges intelligencia - ajánlott informatikai ismeretek. Teljesítendő min. 17 kredit.</t>
  </si>
  <si>
    <t>Validált mesterséges intelligencia ismeretek</t>
  </si>
  <si>
    <t>Külső forrásból megszerzett és igazolt mesterséges intelligencia ismeretek. A kurzusok és MOOC kurzuscsomagok köre nem előre meghatározott, egyéni elbírálással történik a validálás. A hallgatóknak javasoljuk, hogy előre, a külső kurzusok felvétele előtt egyeztessenek, hogy  azok kielégítik-e a követelményeket, azaz mesterséges intelligenciához kötődnek-e illetve mennyiségében elégségesek. 
Példaként az alábbiak kielégítik ezeket a követelményeket:
   -  https://www.coursera.org/specializations/reinforcement-learning
   -  https://www.coursera.org/specializations/data-warehousing
   -  https://www.coursera.org/learn/approximation-algorithms-part-1 + https://www.coursera.org/learn/approximation-algorithms-part-2
   - egy ERASMUS tanulmányok alatt, külföldön teljesített mesterséges intelligencia témájú kurzus
Kétszer veheti fel a hallgató.</t>
  </si>
  <si>
    <t>Mesterséges intelligencia témájú kutatómunka, aminek eredménye TDK dolgozat vagy benyújtott publikáción társszerzőség.
Kétszer veheti fel a hallgató.</t>
  </si>
  <si>
    <t>IB304ptiG</t>
  </si>
  <si>
    <t>Adatelemzés a szociális médiában</t>
  </si>
  <si>
    <t>IB521-2G</t>
  </si>
  <si>
    <t>IB089-2G</t>
  </si>
  <si>
    <t>Modellezés a Matlabban</t>
  </si>
  <si>
    <t>IBV001E</t>
  </si>
  <si>
    <t>Validált szakmai ismeret</t>
  </si>
  <si>
    <t>Pletl Szilveszter Dr.</t>
  </si>
  <si>
    <t>IBV001G</t>
  </si>
  <si>
    <t>Validált gyakorlati szakmai ismeret</t>
  </si>
  <si>
    <t>IBV101E</t>
  </si>
  <si>
    <t>Erasmus szakmai ismeret</t>
  </si>
  <si>
    <t>IBV101G</t>
  </si>
  <si>
    <t>Erasmus gyakorlati szakmai ismeret</t>
  </si>
  <si>
    <t>IBV201G</t>
  </si>
  <si>
    <t>Projektmunka</t>
  </si>
  <si>
    <t>IBV117</t>
  </si>
  <si>
    <t>IBV217</t>
  </si>
  <si>
    <t xml:space="preserve">Konvolúciós neurális hálók a képfeldolgozásban </t>
  </si>
  <si>
    <r>
      <t xml:space="preserve">[MK-SZD] Szakdolgozat. </t>
    </r>
    <r>
      <rPr>
        <i/>
        <sz val="10"/>
        <rFont val="Arial"/>
        <family val="2"/>
        <charset val="238"/>
      </rPr>
      <t>Teljesítendő min. 15 kredit</t>
    </r>
  </si>
  <si>
    <t>Előfeltétel típusa (előfelt., párhuzamos telj., vizsga előfelt.)</t>
  </si>
  <si>
    <t>TT-MBNXK111, TT-IB104</t>
  </si>
  <si>
    <t>IB092E</t>
  </si>
  <si>
    <t>IB091e</t>
  </si>
  <si>
    <t>Kvantum programozás</t>
  </si>
  <si>
    <t>TT-MBNXK111, TT-IB204</t>
  </si>
  <si>
    <t>IBK604G, IBK304E</t>
  </si>
  <si>
    <t>Előfeltétel, Párhuzamos/vizsga előfeltétel</t>
  </si>
  <si>
    <t>Előfeltétel, Párhuzamos</t>
  </si>
  <si>
    <t>IB001e-00076</t>
  </si>
  <si>
    <t>Kátai-Urbán Kamilla Dr.</t>
  </si>
  <si>
    <t>Megjegyzések</t>
  </si>
  <si>
    <t>(köt) Tárgy, vagy blokk tárgyai kötelezőek</t>
  </si>
  <si>
    <t>(2év) A tárgy kétévente van meghirdetve</t>
  </si>
  <si>
    <t>(ritk) A tárgy ritkán van meghirdetve</t>
  </si>
  <si>
    <t>(alap) Alapvető alapozó tárgy, ha nincs tanterv szerint teljestve, súlyos következményei lesznek</t>
  </si>
  <si>
    <t>(tg) Tehetséggondozó program elérhető a tárgyból</t>
  </si>
  <si>
    <t>(előism!) A tárgy teljesítéséhez az oktató bizonyos előismeretek meglétét igényelheti, melyek a Neptun-ban nincsenek rögzítve. Érdemes oktatónál érdeklődni.</t>
  </si>
  <si>
    <t>IB00129G</t>
  </si>
  <si>
    <t>IB0076G</t>
  </si>
  <si>
    <t>IB0103E</t>
  </si>
  <si>
    <t>IB0114G</t>
  </si>
  <si>
    <t>IB0115G</t>
  </si>
  <si>
    <t>IB0120E</t>
  </si>
  <si>
    <t>IB0120G</t>
  </si>
  <si>
    <t>IB0121G</t>
  </si>
  <si>
    <t>ACM versenyfeladatok megoldása II.</t>
  </si>
  <si>
    <t>Nagy mennyiségű adatok feldolgozása döntés-támogató rendszerek részére a Lufthansa Systems mérnökeivel</t>
  </si>
  <si>
    <t>Megerősítéses tanulás a gyakorlatban</t>
  </si>
  <si>
    <t>Informatikai hálózatépítő ea. (CCNP I.)</t>
  </si>
  <si>
    <t>Informatikai hálózatépítő gyakorlat (CCNP I.)</t>
  </si>
  <si>
    <t>Előadói készségfejlesztés</t>
  </si>
  <si>
    <t>Dr. Farkas Richárd József</t>
  </si>
  <si>
    <t>Siket István Dr.</t>
  </si>
  <si>
    <t>Bilicki Vilmos Dr.</t>
  </si>
  <si>
    <t>Dr. Pflanzner Tamás</t>
  </si>
  <si>
    <t>(arch) Tárgy archiválva</t>
  </si>
  <si>
    <t>(arch), helyette: IB00129G</t>
  </si>
  <si>
    <t>Új, kötelezően választható</t>
  </si>
  <si>
    <t>Személyes és szociális készségek</t>
  </si>
  <si>
    <t>Holló Csaba Dr.</t>
  </si>
  <si>
    <t>Beszámoló</t>
  </si>
  <si>
    <t>Új, kötelezően váalsztható</t>
  </si>
  <si>
    <t>[MK-DIF-MATSZT-SzT] Számítástudományi ismeretek. Teljesítendő min. 5 kredit.</t>
  </si>
  <si>
    <t>[MK-ALA] Köztelezően teljesítendő matematika és számítástudományi ismeretek. Teljesítendő 34 kredit.</t>
  </si>
  <si>
    <t>Változás: 23 -&gt; 25</t>
  </si>
  <si>
    <t>[MK-DIF-INF] Ajánlott differenciált informatikai ismeretek. Teljesítendő min. 25 kredit.</t>
  </si>
  <si>
    <t>[MK-DIF-MATSZT] Ajánlott differenciált matematikai és számítástudományi ismeretek. Teljesítendő min. 26 kredit., része [MK-DIF-MATSZT-SzT]</t>
  </si>
  <si>
    <t>[MK-DSZ] Differenciált szakmai ismeretek. Teljesítendő min. 66 kredit.</t>
  </si>
  <si>
    <t>[MK-SZT-P] Kötelező programozási ismeretek. Teljesítendő 14 kredit.</t>
  </si>
  <si>
    <t>[MK-SZT] Kötelező informatikai ismeretek. Teljesítendő 50 kredit. Része: [MK-SZT-P]</t>
  </si>
  <si>
    <t>Egyetemi informatikai alapok</t>
  </si>
  <si>
    <t>IBNa1004L</t>
  </si>
  <si>
    <t>IBNa1005E</t>
  </si>
  <si>
    <t>Módosult: 46 -&gt; 34.
Több elméleti tárgy átkerült KV blokkba.</t>
  </si>
  <si>
    <t>Régi, helyette Optimalizálási algoritmusok</t>
  </si>
  <si>
    <t>Változás</t>
  </si>
  <si>
    <t>Kifutó, 2024 őszén lesz utoljára meghirdetve. Helyette a Numerikus számítások lesz.</t>
  </si>
  <si>
    <t>Új, a Közelítő és szimbolikus számítások helyett, 2025 tavaszától.</t>
  </si>
  <si>
    <t>Módosul: 52 -&gt; 50 kredit
Egy tárgy átkerül a KV blokkba</t>
  </si>
  <si>
    <t>Régi, helyette Szoftverfejlesztési  folyamatok</t>
  </si>
  <si>
    <t>A gyakorlat megszűnik, óraszám változik</t>
  </si>
  <si>
    <t>Matszámtud kredit</t>
  </si>
  <si>
    <t>Módosul: 52 -&gt; 66.
Számos tárgy átkerült a KV tárgyak közé</t>
  </si>
  <si>
    <t>Módosul: 14 -&gt; 26
Számos tárgy átkerült a KV tárgyak közé</t>
  </si>
  <si>
    <t>Kifutó, nem lesz megtartva</t>
  </si>
  <si>
    <t>Kifutó, PTI-sek számára nem lesz választható</t>
  </si>
  <si>
    <t>Kedves Dr. Mingesz Róbert!</t>
  </si>
  <si>
    <t>A képzésem 2022/23/1 óta tart, így 5. féléves PTI hallgató vagyok, viszont még nem végzős évben, ugyanis csúszok bizonyos tárgyak miatt.  A kérdésem az lenne, hogy az újított tanterv (tehát a tanterv 2017.5) alapján kell meglegyenek a kreditjeim, azok alapján kell végezzek, vagy csak azokra vonatkozik az új tanterv új kreditszámai, (gondolok itt például erre: [MK-DSZ] Diff. szakmai ism. 52 -&gt; 66 kredit.) akik most kerülnek be egyetemre? </t>
  </si>
  <si>
    <t>Válaszát előre is köszönöm!</t>
  </si>
  <si>
    <t>Tisztelettel:</t>
  </si>
  <si>
    <t>Puskás Patrik</t>
  </si>
  <si>
    <t>1 kredit kell még</t>
  </si>
  <si>
    <t>2 kredit kell</t>
  </si>
  <si>
    <t>Column3</t>
  </si>
  <si>
    <t>Column4</t>
  </si>
  <si>
    <t>Column5</t>
  </si>
  <si>
    <t>Column14</t>
  </si>
  <si>
    <t>Kurzus Címe</t>
  </si>
  <si>
    <t>Matek ismeretek ^</t>
  </si>
  <si>
    <t>Info Ismeretek ˇ</t>
  </si>
  <si>
    <t>Filler: ˇ</t>
  </si>
  <si>
    <t>TERV SORRENDBEN</t>
  </si>
  <si>
    <t>6</t>
  </si>
  <si>
    <t>5</t>
  </si>
  <si>
    <t>4</t>
  </si>
  <si>
    <t>3</t>
  </si>
  <si>
    <t>2</t>
  </si>
  <si>
    <t>1</t>
  </si>
  <si>
    <t>0</t>
  </si>
  <si>
    <t xml:space="preserve">Kollokvium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</si>
</sst>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</font>
    <font>
      <sz val="1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10"/>
      <color rgb="FF333333"/>
      <name val="Arial"/>
      <family val="2"/>
      <charset val="238"/>
    </font>
    <font>
      <b/>
      <i/>
      <sz val="10"/>
      <name val="Arial"/>
      <family val="2"/>
      <charset val="238"/>
    </font>
    <font>
      <b/>
      <i/>
      <sz val="10"/>
      <color rgb="FF31859B"/>
      <name val="Arial"/>
      <family val="2"/>
      <charset val="238"/>
    </font>
    <font>
      <b/>
      <i/>
      <sz val="10"/>
      <color theme="4"/>
      <name val="Arial"/>
      <family val="2"/>
      <charset val="238"/>
    </font>
    <font>
      <b/>
      <i/>
      <sz val="10"/>
      <color theme="6" tint="-0.499984740745262"/>
      <name val="Arial"/>
      <family val="2"/>
      <charset val="238"/>
    </font>
    <font>
      <b/>
      <sz val="10"/>
      <color theme="1"/>
      <name val="Arial"/>
      <family val="2"/>
      <charset val="238"/>
    </font>
    <font>
      <b/>
      <i/>
      <sz val="10"/>
      <color rgb="FF7030A0"/>
      <name val="Arial"/>
      <family val="2"/>
      <charset val="238"/>
    </font>
    <font>
      <i/>
      <sz val="10"/>
      <name val="Arial"/>
      <family val="2"/>
      <charset val="238"/>
    </font>
    <font>
      <b/>
      <sz val="8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sz val="10"/>
      <color theme="5"/>
      <name val="Arial"/>
      <family val="2"/>
      <charset val="238"/>
    </font>
    <font>
      <sz val="11"/>
      <color rgb="FF494949"/>
      <name val="Arial"/>
      <family val="2"/>
      <charset val="238"/>
    </font>
    <font>
      <sz val="10"/>
      <color theme="2"/>
      <name val="Arial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FFC000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6"/>
    <xf numFmtId="0" fontId="16" fillId="0" borderId="6"/>
  </cellStyleXfs>
  <cellXfs count="428">
    <xf numFmtId="0" fontId="0" fillId="0" borderId="0" xfId="0"/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6" fillId="0" borderId="6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24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29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0" fontId="4" fillId="5" borderId="30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0" fontId="1" fillId="0" borderId="29" xfId="0" applyFont="1" applyBorder="1" applyAlignment="1">
      <alignment vertical="top"/>
    </xf>
    <xf numFmtId="0" fontId="1" fillId="2" borderId="30" xfId="0" applyFont="1" applyFill="1" applyBorder="1" applyAlignment="1">
      <alignment vertical="top"/>
    </xf>
    <xf numFmtId="0" fontId="1" fillId="2" borderId="30" xfId="0" applyFont="1" applyFill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4" fillId="0" borderId="65" xfId="0" applyFont="1" applyBorder="1" applyAlignment="1">
      <alignment vertical="top"/>
    </xf>
    <xf numFmtId="0" fontId="4" fillId="2" borderId="30" xfId="0" applyFont="1" applyFill="1" applyBorder="1" applyAlignment="1">
      <alignment vertical="top"/>
    </xf>
    <xf numFmtId="0" fontId="4" fillId="0" borderId="30" xfId="0" applyFont="1" applyBorder="1" applyAlignment="1">
      <alignment vertical="top"/>
    </xf>
    <xf numFmtId="0" fontId="1" fillId="0" borderId="27" xfId="1" applyFont="1" applyBorder="1" applyAlignment="1">
      <alignment vertical="top"/>
    </xf>
    <xf numFmtId="0" fontId="1" fillId="0" borderId="29" xfId="1" applyFont="1" applyBorder="1" applyAlignment="1">
      <alignment vertical="top"/>
    </xf>
    <xf numFmtId="0" fontId="4" fillId="2" borderId="25" xfId="0" applyFont="1" applyFill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58" xfId="0" applyFont="1" applyBorder="1" applyAlignment="1">
      <alignment vertical="top"/>
    </xf>
    <xf numFmtId="0" fontId="8" fillId="3" borderId="0" xfId="0" applyFont="1" applyFill="1" applyAlignment="1">
      <alignment vertical="top" wrapText="1"/>
    </xf>
    <xf numFmtId="0" fontId="1" fillId="0" borderId="48" xfId="0" applyFont="1" applyBorder="1" applyAlignment="1">
      <alignment horizontal="left" vertical="top" wrapText="1"/>
    </xf>
    <xf numFmtId="0" fontId="1" fillId="0" borderId="49" xfId="0" applyFont="1" applyBorder="1" applyAlignment="1">
      <alignment horizontal="left" vertical="top" wrapText="1"/>
    </xf>
    <xf numFmtId="0" fontId="1" fillId="0" borderId="49" xfId="0" applyFont="1" applyBorder="1" applyAlignment="1">
      <alignment vertical="top" wrapText="1"/>
    </xf>
    <xf numFmtId="0" fontId="1" fillId="0" borderId="50" xfId="0" applyFont="1" applyBorder="1" applyAlignment="1">
      <alignment horizontal="left" vertical="top" wrapText="1"/>
    </xf>
    <xf numFmtId="0" fontId="1" fillId="0" borderId="51" xfId="0" applyFont="1" applyBorder="1" applyAlignment="1">
      <alignment horizontal="left" vertical="top" wrapText="1"/>
    </xf>
    <xf numFmtId="0" fontId="1" fillId="0" borderId="52" xfId="0" applyFont="1" applyBorder="1" applyAlignment="1">
      <alignment horizontal="left" vertical="top" wrapText="1"/>
    </xf>
    <xf numFmtId="0" fontId="1" fillId="0" borderId="52" xfId="0" applyFont="1" applyBorder="1" applyAlignment="1">
      <alignment vertical="top" wrapText="1"/>
    </xf>
    <xf numFmtId="0" fontId="1" fillId="0" borderId="5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55" xfId="0" applyFont="1" applyBorder="1" applyAlignment="1">
      <alignment vertical="top" wrapText="1"/>
    </xf>
    <xf numFmtId="0" fontId="1" fillId="0" borderId="56" xfId="0" applyFont="1" applyBorder="1" applyAlignment="1">
      <alignment vertical="top" wrapText="1"/>
    </xf>
    <xf numFmtId="0" fontId="1" fillId="0" borderId="57" xfId="0" applyFont="1" applyBorder="1" applyAlignment="1">
      <alignment vertical="top" wrapText="1"/>
    </xf>
    <xf numFmtId="0" fontId="4" fillId="0" borderId="47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59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7" borderId="25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6" fillId="0" borderId="59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28" xfId="0" applyFont="1" applyBorder="1" applyAlignment="1">
      <alignment vertical="top"/>
    </xf>
    <xf numFmtId="0" fontId="4" fillId="0" borderId="30" xfId="0" applyFont="1" applyBorder="1" applyAlignment="1">
      <alignment horizontal="center" vertical="top"/>
    </xf>
    <xf numFmtId="0" fontId="4" fillId="0" borderId="31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9" xfId="0" applyFont="1" applyBorder="1" applyAlignment="1">
      <alignment vertical="top"/>
    </xf>
    <xf numFmtId="0" fontId="4" fillId="0" borderId="32" xfId="0" applyFont="1" applyBorder="1" applyAlignment="1">
      <alignment horizontal="center" vertical="top"/>
    </xf>
    <xf numFmtId="0" fontId="4" fillId="0" borderId="33" xfId="0" applyFont="1" applyBorder="1" applyAlignment="1">
      <alignment vertical="top"/>
    </xf>
    <xf numFmtId="0" fontId="4" fillId="2" borderId="25" xfId="0" applyFont="1" applyFill="1" applyBorder="1" applyAlignment="1">
      <alignment horizontal="center" vertical="top"/>
    </xf>
    <xf numFmtId="0" fontId="5" fillId="2" borderId="25" xfId="0" applyFont="1" applyFill="1" applyBorder="1" applyAlignment="1">
      <alignment horizontal="center" vertical="top"/>
    </xf>
    <xf numFmtId="0" fontId="4" fillId="2" borderId="26" xfId="0" applyFont="1" applyFill="1" applyBorder="1" applyAlignment="1">
      <alignment vertical="top"/>
    </xf>
    <xf numFmtId="0" fontId="1" fillId="0" borderId="27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4" fillId="2" borderId="28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4" fillId="2" borderId="30" xfId="0" applyFont="1" applyFill="1" applyBorder="1" applyAlignment="1">
      <alignment horizontal="center" vertical="top"/>
    </xf>
    <xf numFmtId="0" fontId="4" fillId="5" borderId="30" xfId="0" applyFont="1" applyFill="1" applyBorder="1" applyAlignment="1">
      <alignment horizontal="center" vertical="top"/>
    </xf>
    <xf numFmtId="0" fontId="5" fillId="2" borderId="30" xfId="0" applyFont="1" applyFill="1" applyBorder="1" applyAlignment="1">
      <alignment horizontal="center" vertical="top"/>
    </xf>
    <xf numFmtId="0" fontId="4" fillId="2" borderId="31" xfId="0" applyFont="1" applyFill="1" applyBorder="1" applyAlignment="1">
      <alignment vertical="top"/>
    </xf>
    <xf numFmtId="0" fontId="4" fillId="0" borderId="25" xfId="0" applyFont="1" applyBorder="1" applyAlignment="1">
      <alignment horizontal="center" vertical="top"/>
    </xf>
    <xf numFmtId="0" fontId="4" fillId="0" borderId="26" xfId="0" applyFont="1" applyBorder="1" applyAlignment="1">
      <alignment vertical="top"/>
    </xf>
    <xf numFmtId="0" fontId="4" fillId="0" borderId="6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5" xfId="0" applyFont="1" applyFill="1" applyBorder="1" applyAlignment="1">
      <alignment vertical="top"/>
    </xf>
    <xf numFmtId="0" fontId="1" fillId="2" borderId="2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4" fillId="6" borderId="0" xfId="0" applyFont="1" applyFill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1" fillId="0" borderId="30" xfId="0" applyFont="1" applyBorder="1" applyAlignment="1">
      <alignment horizontal="center" vertical="top"/>
    </xf>
    <xf numFmtId="0" fontId="1" fillId="0" borderId="24" xfId="0" applyFont="1" applyBorder="1" applyAlignment="1">
      <alignment horizontal="left" vertical="top"/>
    </xf>
    <xf numFmtId="0" fontId="1" fillId="0" borderId="46" xfId="0" applyFont="1" applyBorder="1" applyAlignment="1">
      <alignment horizontal="left" vertical="top"/>
    </xf>
    <xf numFmtId="0" fontId="4" fillId="0" borderId="47" xfId="0" applyFont="1" applyBorder="1" applyAlignment="1">
      <alignment horizontal="center" vertical="top"/>
    </xf>
    <xf numFmtId="0" fontId="1" fillId="0" borderId="47" xfId="0" applyFont="1" applyBorder="1" applyAlignment="1">
      <alignment horizontal="center" vertical="top"/>
    </xf>
    <xf numFmtId="0" fontId="4" fillId="0" borderId="70" xfId="0" applyFont="1" applyBorder="1" applyAlignment="1">
      <alignment vertical="top"/>
    </xf>
    <xf numFmtId="0" fontId="4" fillId="0" borderId="31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5" fillId="0" borderId="35" xfId="0" applyFont="1" applyBorder="1" applyAlignment="1">
      <alignment horizontal="left" vertical="top"/>
    </xf>
    <xf numFmtId="0" fontId="5" fillId="0" borderId="36" xfId="0" applyFont="1" applyBorder="1" applyAlignment="1">
      <alignment horizontal="left" vertical="top"/>
    </xf>
    <xf numFmtId="0" fontId="5" fillId="0" borderId="36" xfId="0" applyFont="1" applyBorder="1" applyAlignment="1">
      <alignment horizontal="center" vertical="top"/>
    </xf>
    <xf numFmtId="0" fontId="5" fillId="0" borderId="37" xfId="0" applyFont="1" applyBorder="1" applyAlignment="1">
      <alignment horizontal="left" vertical="top"/>
    </xf>
    <xf numFmtId="0" fontId="5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4" fillId="0" borderId="39" xfId="0" applyFont="1" applyBorder="1" applyAlignment="1">
      <alignment horizontal="center" vertical="top"/>
    </xf>
    <xf numFmtId="0" fontId="4" fillId="0" borderId="40" xfId="0" applyFont="1" applyBorder="1" applyAlignment="1">
      <alignment horizontal="left" vertical="top"/>
    </xf>
    <xf numFmtId="0" fontId="1" fillId="0" borderId="25" xfId="0" applyFont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  <xf numFmtId="0" fontId="2" fillId="2" borderId="30" xfId="0" applyFont="1" applyFill="1" applyBorder="1" applyAlignment="1">
      <alignment horizontal="center" vertical="top"/>
    </xf>
    <xf numFmtId="0" fontId="1" fillId="2" borderId="31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1" fillId="0" borderId="65" xfId="0" applyFont="1" applyBorder="1" applyAlignment="1">
      <alignment vertical="top"/>
    </xf>
    <xf numFmtId="0" fontId="3" fillId="2" borderId="66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3" fillId="2" borderId="45" xfId="0" applyFont="1" applyFill="1" applyBorder="1" applyAlignment="1">
      <alignment vertical="top"/>
    </xf>
    <xf numFmtId="0" fontId="3" fillId="2" borderId="60" xfId="0" applyFont="1" applyFill="1" applyBorder="1" applyAlignment="1">
      <alignment vertical="top"/>
    </xf>
    <xf numFmtId="0" fontId="3" fillId="2" borderId="61" xfId="0" applyFont="1" applyFill="1" applyBorder="1" applyAlignment="1">
      <alignment vertical="top"/>
    </xf>
    <xf numFmtId="0" fontId="3" fillId="2" borderId="61" xfId="0" applyFont="1" applyFill="1" applyBorder="1" applyAlignment="1">
      <alignment horizontal="center" vertical="top"/>
    </xf>
    <xf numFmtId="0" fontId="3" fillId="2" borderId="62" xfId="0" applyFont="1" applyFill="1" applyBorder="1" applyAlignment="1">
      <alignment horizontal="center" vertical="top"/>
    </xf>
    <xf numFmtId="0" fontId="1" fillId="0" borderId="27" xfId="1" applyFont="1" applyBorder="1" applyAlignment="1">
      <alignment horizontal="left" vertical="top"/>
    </xf>
    <xf numFmtId="0" fontId="3" fillId="0" borderId="60" xfId="0" applyFont="1" applyBorder="1" applyAlignment="1">
      <alignment horizontal="left" vertical="top"/>
    </xf>
    <xf numFmtId="0" fontId="4" fillId="2" borderId="61" xfId="0" applyFont="1" applyFill="1" applyBorder="1" applyAlignment="1">
      <alignment vertical="top"/>
    </xf>
    <xf numFmtId="0" fontId="4" fillId="2" borderId="61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3" fillId="2" borderId="62" xfId="0" applyFont="1" applyFill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12" fillId="0" borderId="61" xfId="0" applyFont="1" applyBorder="1" applyAlignment="1">
      <alignment vertical="top"/>
    </xf>
    <xf numFmtId="0" fontId="12" fillId="0" borderId="61" xfId="0" applyFont="1" applyBorder="1" applyAlignment="1">
      <alignment horizontal="center" vertical="top"/>
    </xf>
    <xf numFmtId="0" fontId="12" fillId="0" borderId="62" xfId="0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4" fillId="5" borderId="28" xfId="0" applyFont="1" applyFill="1" applyBorder="1" applyAlignment="1">
      <alignment vertical="top"/>
    </xf>
    <xf numFmtId="0" fontId="1" fillId="5" borderId="30" xfId="0" applyFont="1" applyFill="1" applyBorder="1" applyAlignment="1">
      <alignment horizontal="center" vertical="top"/>
    </xf>
    <xf numFmtId="0" fontId="4" fillId="5" borderId="31" xfId="0" applyFont="1" applyFill="1" applyBorder="1" applyAlignment="1">
      <alignment vertical="top"/>
    </xf>
    <xf numFmtId="0" fontId="4" fillId="2" borderId="47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0" fontId="3" fillId="0" borderId="61" xfId="0" applyFont="1" applyBorder="1" applyAlignment="1">
      <alignment vertical="top"/>
    </xf>
    <xf numFmtId="0" fontId="3" fillId="0" borderId="62" xfId="0" applyFont="1" applyBorder="1" applyAlignment="1">
      <alignment vertical="top"/>
    </xf>
    <xf numFmtId="0" fontId="4" fillId="0" borderId="67" xfId="0" applyFont="1" applyBorder="1" applyAlignment="1">
      <alignment vertical="top"/>
    </xf>
    <xf numFmtId="0" fontId="4" fillId="0" borderId="17" xfId="0" applyFont="1" applyBorder="1" applyAlignment="1">
      <alignment horizontal="center" vertical="top"/>
    </xf>
    <xf numFmtId="0" fontId="4" fillId="0" borderId="49" xfId="0" applyFont="1" applyBorder="1" applyAlignment="1">
      <alignment vertical="top"/>
    </xf>
    <xf numFmtId="0" fontId="4" fillId="0" borderId="68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69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7" xfId="0" applyFont="1" applyBorder="1" applyAlignment="1">
      <alignment horizontal="center" vertical="top"/>
    </xf>
    <xf numFmtId="0" fontId="4" fillId="0" borderId="44" xfId="0" applyFont="1" applyBorder="1" applyAlignment="1">
      <alignment vertical="top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4" fillId="5" borderId="15" xfId="0" applyFont="1" applyFill="1" applyBorder="1" applyAlignment="1">
      <alignment vertical="top"/>
    </xf>
    <xf numFmtId="0" fontId="4" fillId="2" borderId="15" xfId="0" applyFont="1" applyFill="1" applyBorder="1" applyAlignment="1">
      <alignment vertical="top"/>
    </xf>
    <xf numFmtId="0" fontId="4" fillId="2" borderId="15" xfId="0" applyFont="1" applyFill="1" applyBorder="1" applyAlignment="1">
      <alignment horizontal="center" vertical="top"/>
    </xf>
    <xf numFmtId="0" fontId="4" fillId="5" borderId="15" xfId="0" applyFont="1" applyFill="1" applyBorder="1" applyAlignment="1">
      <alignment horizontal="center" vertical="top"/>
    </xf>
    <xf numFmtId="0" fontId="5" fillId="2" borderId="15" xfId="0" applyFont="1" applyFill="1" applyBorder="1" applyAlignment="1">
      <alignment horizontal="center" vertical="top"/>
    </xf>
    <xf numFmtId="0" fontId="4" fillId="2" borderId="23" xfId="0" applyFont="1" applyFill="1" applyBorder="1" applyAlignment="1">
      <alignment vertical="top"/>
    </xf>
    <xf numFmtId="0" fontId="4" fillId="5" borderId="41" xfId="0" applyFont="1" applyFill="1" applyBorder="1" applyAlignment="1">
      <alignment vertical="top"/>
    </xf>
    <xf numFmtId="0" fontId="4" fillId="2" borderId="41" xfId="0" applyFont="1" applyFill="1" applyBorder="1" applyAlignment="1">
      <alignment vertical="top"/>
    </xf>
    <xf numFmtId="0" fontId="4" fillId="2" borderId="41" xfId="0" applyFont="1" applyFill="1" applyBorder="1" applyAlignment="1">
      <alignment horizontal="center" vertical="top"/>
    </xf>
    <xf numFmtId="0" fontId="5" fillId="2" borderId="41" xfId="0" applyFont="1" applyFill="1" applyBorder="1" applyAlignment="1">
      <alignment horizontal="center" vertical="top"/>
    </xf>
    <xf numFmtId="0" fontId="5" fillId="0" borderId="69" xfId="0" applyFont="1" applyBorder="1" applyAlignment="1">
      <alignment vertical="top"/>
    </xf>
    <xf numFmtId="0" fontId="4" fillId="2" borderId="71" xfId="0" applyFont="1" applyFill="1" applyBorder="1" applyAlignment="1">
      <alignment vertical="top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4" fillId="8" borderId="0" xfId="0" applyFont="1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0" fillId="8" borderId="0" xfId="0" applyFill="1" applyAlignment="1">
      <alignment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4" fillId="10" borderId="69" xfId="0" applyFont="1" applyFill="1" applyBorder="1" applyAlignment="1">
      <alignment vertical="top"/>
    </xf>
    <xf numFmtId="0" fontId="4" fillId="10" borderId="41" xfId="0" applyFont="1" applyFill="1" applyBorder="1" applyAlignment="1">
      <alignment horizontal="center" vertical="top"/>
    </xf>
    <xf numFmtId="0" fontId="1" fillId="10" borderId="41" xfId="0" applyFont="1" applyFill="1" applyBorder="1" applyAlignment="1">
      <alignment vertical="top" wrapText="1"/>
    </xf>
    <xf numFmtId="0" fontId="1" fillId="10" borderId="71" xfId="0" applyFont="1" applyFill="1" applyBorder="1" applyAlignment="1">
      <alignment vertical="top" wrapText="1"/>
    </xf>
    <xf numFmtId="0" fontId="5" fillId="0" borderId="14" xfId="0" applyFont="1" applyBorder="1" applyAlignment="1">
      <alignment vertical="top"/>
    </xf>
    <xf numFmtId="0" fontId="5" fillId="11" borderId="0" xfId="0" applyFont="1" applyFill="1" applyAlignment="1">
      <alignment vertical="top" wrapText="1"/>
    </xf>
    <xf numFmtId="0" fontId="1" fillId="11" borderId="24" xfId="0" applyFont="1" applyFill="1" applyBorder="1" applyAlignment="1">
      <alignment vertical="top"/>
    </xf>
    <xf numFmtId="0" fontId="4" fillId="12" borderId="25" xfId="0" applyFont="1" applyFill="1" applyBorder="1" applyAlignment="1">
      <alignment vertical="top"/>
    </xf>
    <xf numFmtId="0" fontId="4" fillId="12" borderId="25" xfId="0" applyFont="1" applyFill="1" applyBorder="1" applyAlignment="1">
      <alignment horizontal="center" vertical="top"/>
    </xf>
    <xf numFmtId="0" fontId="5" fillId="12" borderId="25" xfId="0" applyFont="1" applyFill="1" applyBorder="1" applyAlignment="1">
      <alignment horizontal="center" vertical="top"/>
    </xf>
    <xf numFmtId="0" fontId="4" fillId="12" borderId="26" xfId="0" applyFont="1" applyFill="1" applyBorder="1" applyAlignment="1">
      <alignment vertical="top"/>
    </xf>
    <xf numFmtId="0" fontId="1" fillId="11" borderId="27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vertical="top"/>
    </xf>
    <xf numFmtId="0" fontId="4" fillId="1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center" vertical="top"/>
    </xf>
    <xf numFmtId="0" fontId="4" fillId="12" borderId="28" xfId="0" applyFont="1" applyFill="1" applyBorder="1" applyAlignment="1">
      <alignment vertical="top"/>
    </xf>
    <xf numFmtId="0" fontId="1" fillId="11" borderId="27" xfId="0" applyFont="1" applyFill="1" applyBorder="1" applyAlignment="1">
      <alignment vertical="top"/>
    </xf>
    <xf numFmtId="0" fontId="4" fillId="11" borderId="69" xfId="0" applyFont="1" applyFill="1" applyBorder="1" applyAlignment="1">
      <alignment vertical="top"/>
    </xf>
    <xf numFmtId="0" fontId="4" fillId="11" borderId="41" xfId="0" applyFont="1" applyFill="1" applyBorder="1" applyAlignment="1">
      <alignment vertical="top"/>
    </xf>
    <xf numFmtId="0" fontId="4" fillId="11" borderId="41" xfId="0" applyFont="1" applyFill="1" applyBorder="1" applyAlignment="1">
      <alignment horizontal="center" vertical="top"/>
    </xf>
    <xf numFmtId="0" fontId="4" fillId="11" borderId="71" xfId="0" applyFont="1" applyFill="1" applyBorder="1" applyAlignment="1">
      <alignment vertical="top"/>
    </xf>
    <xf numFmtId="0" fontId="4" fillId="11" borderId="27" xfId="0" applyFont="1" applyFill="1" applyBorder="1" applyAlignment="1">
      <alignment vertical="top"/>
    </xf>
    <xf numFmtId="0" fontId="5" fillId="11" borderId="27" xfId="0" applyFont="1" applyFill="1" applyBorder="1" applyAlignment="1">
      <alignment vertical="top"/>
    </xf>
    <xf numFmtId="0" fontId="4" fillId="11" borderId="1" xfId="0" applyFont="1" applyFill="1" applyBorder="1" applyAlignment="1">
      <alignment vertical="top"/>
    </xf>
    <xf numFmtId="0" fontId="5" fillId="11" borderId="27" xfId="0" applyFont="1" applyFill="1" applyBorder="1" applyAlignment="1">
      <alignment horizontal="left" vertical="top"/>
    </xf>
    <xf numFmtId="0" fontId="4" fillId="11" borderId="48" xfId="0" applyFont="1" applyFill="1" applyBorder="1" applyAlignment="1">
      <alignment vertical="top"/>
    </xf>
    <xf numFmtId="0" fontId="4" fillId="11" borderId="49" xfId="0" applyFont="1" applyFill="1" applyBorder="1" applyAlignment="1">
      <alignment vertical="top"/>
    </xf>
    <xf numFmtId="0" fontId="4" fillId="11" borderId="49" xfId="0" applyFont="1" applyFill="1" applyBorder="1" applyAlignment="1">
      <alignment horizontal="center" vertical="top"/>
    </xf>
    <xf numFmtId="0" fontId="4" fillId="11" borderId="50" xfId="0" applyFont="1" applyFill="1" applyBorder="1" applyAlignment="1">
      <alignment vertical="top"/>
    </xf>
    <xf numFmtId="0" fontId="1" fillId="12" borderId="25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4" fillId="11" borderId="28" xfId="0" applyFont="1" applyFill="1" applyBorder="1" applyAlignment="1">
      <alignment vertical="top"/>
    </xf>
    <xf numFmtId="0" fontId="1" fillId="11" borderId="1" xfId="0" applyFont="1" applyFill="1" applyBorder="1" applyAlignment="1">
      <alignment vertical="top"/>
    </xf>
    <xf numFmtId="0" fontId="5" fillId="11" borderId="1" xfId="0" applyFont="1" applyFill="1" applyBorder="1" applyAlignment="1">
      <alignment horizontal="center" vertical="top"/>
    </xf>
    <xf numFmtId="0" fontId="5" fillId="11" borderId="24" xfId="0" applyFont="1" applyFill="1" applyBorder="1" applyAlignment="1">
      <alignment vertical="top"/>
    </xf>
    <xf numFmtId="0" fontId="4" fillId="11" borderId="25" xfId="0" applyFont="1" applyFill="1" applyBorder="1" applyAlignment="1">
      <alignment vertical="top"/>
    </xf>
    <xf numFmtId="0" fontId="4" fillId="11" borderId="25" xfId="0" applyFont="1" applyFill="1" applyBorder="1" applyAlignment="1">
      <alignment horizontal="center" vertical="top"/>
    </xf>
    <xf numFmtId="0" fontId="4" fillId="13" borderId="27" xfId="0" applyFont="1" applyFill="1" applyBorder="1" applyAlignment="1">
      <alignment vertical="top"/>
    </xf>
    <xf numFmtId="0" fontId="4" fillId="13" borderId="1" xfId="0" applyFont="1" applyFill="1" applyBorder="1" applyAlignment="1">
      <alignment vertical="top"/>
    </xf>
    <xf numFmtId="0" fontId="4" fillId="13" borderId="1" xfId="0" applyFont="1" applyFill="1" applyBorder="1" applyAlignment="1">
      <alignment horizontal="center" vertical="top"/>
    </xf>
    <xf numFmtId="0" fontId="4" fillId="14" borderId="28" xfId="0" applyFont="1" applyFill="1" applyBorder="1" applyAlignment="1">
      <alignment vertical="top"/>
    </xf>
    <xf numFmtId="0" fontId="1" fillId="11" borderId="25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/>
    </xf>
    <xf numFmtId="0" fontId="1" fillId="12" borderId="1" xfId="0" applyFont="1" applyFill="1" applyBorder="1" applyAlignment="1">
      <alignment vertical="top"/>
    </xf>
    <xf numFmtId="0" fontId="4" fillId="11" borderId="24" xfId="0" applyFont="1" applyFill="1" applyBorder="1" applyAlignment="1">
      <alignment vertical="top"/>
    </xf>
    <xf numFmtId="0" fontId="4" fillId="14" borderId="1" xfId="0" applyFont="1" applyFill="1" applyBorder="1" applyAlignment="1">
      <alignment vertical="top"/>
    </xf>
    <xf numFmtId="0" fontId="4" fillId="14" borderId="1" xfId="0" applyFont="1" applyFill="1" applyBorder="1" applyAlignment="1">
      <alignment horizontal="center" vertical="top"/>
    </xf>
    <xf numFmtId="0" fontId="1" fillId="13" borderId="27" xfId="0" applyFont="1" applyFill="1" applyBorder="1" applyAlignment="1">
      <alignment vertical="top"/>
    </xf>
    <xf numFmtId="0" fontId="4" fillId="13" borderId="28" xfId="0" applyFont="1" applyFill="1" applyBorder="1" applyAlignment="1">
      <alignment vertical="top"/>
    </xf>
    <xf numFmtId="0" fontId="18" fillId="0" borderId="0" xfId="0" applyFont="1"/>
    <xf numFmtId="0" fontId="1" fillId="8" borderId="34" xfId="0" applyFont="1" applyFill="1" applyBorder="1" applyAlignment="1">
      <alignment horizontal="left" vertical="top" wrapText="1"/>
    </xf>
    <xf numFmtId="0" fontId="4" fillId="11" borderId="0" xfId="0" applyFont="1" applyFill="1" applyAlignment="1">
      <alignment vertical="top"/>
    </xf>
    <xf numFmtId="0" fontId="2" fillId="0" borderId="27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28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8" xfId="0" applyFont="1" applyFill="1" applyBorder="1" applyAlignment="1">
      <alignment vertical="top"/>
    </xf>
    <xf numFmtId="0" fontId="2" fillId="0" borderId="29" xfId="0" applyFont="1" applyBorder="1" applyAlignment="1">
      <alignment vertical="top"/>
    </xf>
    <xf numFmtId="0" fontId="19" fillId="16" borderId="27" xfId="0" applyFont="1" applyFill="1" applyBorder="1" applyAlignment="1">
      <alignment vertical="top"/>
    </xf>
    <xf numFmtId="0" fontId="19" fillId="17" borderId="1" xfId="0" applyFont="1" applyFill="1" applyBorder="1" applyAlignment="1">
      <alignment vertical="top"/>
    </xf>
    <xf numFmtId="0" fontId="19" fillId="17" borderId="1" xfId="0" applyFont="1" applyFill="1" applyBorder="1" applyAlignment="1">
      <alignment horizontal="center" vertical="top"/>
    </xf>
    <xf numFmtId="0" fontId="19" fillId="17" borderId="28" xfId="0" applyFont="1" applyFill="1" applyBorder="1" applyAlignment="1">
      <alignment vertical="top"/>
    </xf>
    <xf numFmtId="0" fontId="4" fillId="12" borderId="25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top"/>
    </xf>
    <xf numFmtId="0" fontId="2" fillId="2" borderId="25" xfId="0" applyFont="1" applyFill="1" applyBorder="1" applyAlignment="1">
      <alignment vertical="top"/>
    </xf>
    <xf numFmtId="0" fontId="2" fillId="5" borderId="30" xfId="0" applyFont="1" applyFill="1" applyBorder="1" applyAlignment="1">
      <alignment vertical="top"/>
    </xf>
    <xf numFmtId="0" fontId="2" fillId="5" borderId="30" xfId="0" applyFont="1" applyFill="1" applyBorder="1" applyAlignment="1">
      <alignment horizontal="center" vertical="top"/>
    </xf>
    <xf numFmtId="0" fontId="2" fillId="5" borderId="31" xfId="0" applyFont="1" applyFill="1" applyBorder="1" applyAlignment="1">
      <alignment vertical="top"/>
    </xf>
    <xf numFmtId="0" fontId="4" fillId="11" borderId="26" xfId="0" applyFont="1" applyFill="1" applyBorder="1" applyAlignment="1">
      <alignment vertical="top"/>
    </xf>
    <xf numFmtId="0" fontId="4" fillId="13" borderId="24" xfId="0" applyFont="1" applyFill="1" applyBorder="1" applyAlignment="1">
      <alignment vertical="top"/>
    </xf>
    <xf numFmtId="0" fontId="4" fillId="13" borderId="25" xfId="0" applyFont="1" applyFill="1" applyBorder="1" applyAlignment="1">
      <alignment vertical="top"/>
    </xf>
    <xf numFmtId="0" fontId="4" fillId="13" borderId="25" xfId="0" applyFont="1" applyFill="1" applyBorder="1" applyAlignment="1">
      <alignment horizontal="center" vertical="top"/>
    </xf>
    <xf numFmtId="0" fontId="4" fillId="13" borderId="26" xfId="0" applyFont="1" applyFill="1" applyBorder="1" applyAlignment="1">
      <alignment vertical="top"/>
    </xf>
    <xf numFmtId="0" fontId="4" fillId="11" borderId="25" xfId="0" applyFont="1" applyFill="1" applyBorder="1" applyAlignment="1">
      <alignment horizontal="left" vertical="top"/>
    </xf>
    <xf numFmtId="0" fontId="1" fillId="11" borderId="29" xfId="0" applyFont="1" applyFill="1" applyBorder="1" applyAlignment="1">
      <alignment horizontal="left" vertical="top"/>
    </xf>
    <xf numFmtId="0" fontId="4" fillId="12" borderId="30" xfId="0" applyFont="1" applyFill="1" applyBorder="1" applyAlignment="1">
      <alignment vertical="top"/>
    </xf>
    <xf numFmtId="0" fontId="1" fillId="12" borderId="30" xfId="0" applyFont="1" applyFill="1" applyBorder="1" applyAlignment="1">
      <alignment vertical="top"/>
    </xf>
    <xf numFmtId="0" fontId="4" fillId="12" borderId="30" xfId="0" applyFont="1" applyFill="1" applyBorder="1" applyAlignment="1">
      <alignment horizontal="center" vertical="top"/>
    </xf>
    <xf numFmtId="0" fontId="1" fillId="11" borderId="30" xfId="0" applyFont="1" applyFill="1" applyBorder="1" applyAlignment="1">
      <alignment horizontal="center" vertical="top"/>
    </xf>
    <xf numFmtId="0" fontId="4" fillId="12" borderId="31" xfId="0" applyFont="1" applyFill="1" applyBorder="1" applyAlignment="1">
      <alignment vertical="top"/>
    </xf>
    <xf numFmtId="0" fontId="4" fillId="11" borderId="27" xfId="1" applyFill="1" applyBorder="1" applyAlignment="1">
      <alignment vertical="top"/>
    </xf>
    <xf numFmtId="0" fontId="4" fillId="11" borderId="29" xfId="1" applyFill="1" applyBorder="1" applyAlignment="1">
      <alignment vertical="top"/>
    </xf>
    <xf numFmtId="0" fontId="4" fillId="11" borderId="30" xfId="0" applyFont="1" applyFill="1" applyBorder="1" applyAlignment="1">
      <alignment vertical="top"/>
    </xf>
    <xf numFmtId="0" fontId="1" fillId="11" borderId="30" xfId="0" applyFont="1" applyFill="1" applyBorder="1" applyAlignment="1">
      <alignment vertical="top"/>
    </xf>
    <xf numFmtId="0" fontId="4" fillId="11" borderId="30" xfId="0" applyFont="1" applyFill="1" applyBorder="1" applyAlignment="1">
      <alignment horizontal="center" vertical="top"/>
    </xf>
    <xf numFmtId="0" fontId="4" fillId="11" borderId="31" xfId="0" applyFont="1" applyFill="1" applyBorder="1" applyAlignment="1">
      <alignment vertical="top"/>
    </xf>
    <xf numFmtId="0" fontId="5" fillId="9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6" xfId="0" applyFont="1" applyFill="1" applyBorder="1" applyAlignment="1">
      <alignment horizontal="center" vertical="top"/>
    </xf>
    <xf numFmtId="0" fontId="4" fillId="9" borderId="6" xfId="0" applyFont="1" applyFill="1" applyBorder="1" applyAlignment="1">
      <alignment horizontal="left" vertical="top"/>
    </xf>
    <xf numFmtId="0" fontId="3" fillId="9" borderId="0" xfId="0" applyFont="1" applyFill="1" applyAlignment="1">
      <alignment horizontal="center" vertical="top" wrapText="1"/>
    </xf>
    <xf numFmtId="0" fontId="4" fillId="9" borderId="0" xfId="0" applyFont="1" applyFill="1" applyAlignment="1">
      <alignment vertical="top"/>
    </xf>
    <xf numFmtId="0" fontId="1" fillId="11" borderId="69" xfId="0" applyFont="1" applyFill="1" applyBorder="1"/>
    <xf numFmtId="0" fontId="1" fillId="11" borderId="41" xfId="0" applyFont="1" applyFill="1" applyBorder="1"/>
    <xf numFmtId="0" fontId="1" fillId="11" borderId="74" xfId="0" applyFont="1" applyFill="1" applyBorder="1"/>
    <xf numFmtId="0" fontId="1" fillId="18" borderId="27" xfId="0" applyFont="1" applyFill="1" applyBorder="1" applyAlignment="1">
      <alignment vertical="top"/>
    </xf>
    <xf numFmtId="0" fontId="4" fillId="19" borderId="1" xfId="0" applyFont="1" applyFill="1" applyBorder="1" applyAlignment="1">
      <alignment vertical="top"/>
    </xf>
    <xf numFmtId="0" fontId="4" fillId="19" borderId="1" xfId="0" applyFont="1" applyFill="1" applyBorder="1" applyAlignment="1">
      <alignment horizontal="center" vertical="top"/>
    </xf>
    <xf numFmtId="0" fontId="1" fillId="19" borderId="1" xfId="0" applyFont="1" applyFill="1" applyBorder="1" applyAlignment="1">
      <alignment horizontal="center" vertical="top"/>
    </xf>
    <xf numFmtId="0" fontId="4" fillId="19" borderId="28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18" borderId="27" xfId="0" applyFont="1" applyFill="1" applyBorder="1" applyAlignment="1">
      <alignment horizontal="left" vertical="top"/>
    </xf>
    <xf numFmtId="0" fontId="4" fillId="18" borderId="1" xfId="0" applyFont="1" applyFill="1" applyBorder="1" applyAlignment="1">
      <alignment vertical="top"/>
    </xf>
    <xf numFmtId="0" fontId="4" fillId="18" borderId="1" xfId="0" applyFont="1" applyFill="1" applyBorder="1" applyAlignment="1">
      <alignment horizontal="center" vertical="top"/>
    </xf>
    <xf numFmtId="0" fontId="1" fillId="18" borderId="1" xfId="0" applyFont="1" applyFill="1" applyBorder="1" applyAlignment="1">
      <alignment horizontal="center" vertical="top"/>
    </xf>
    <xf numFmtId="0" fontId="4" fillId="18" borderId="28" xfId="0" applyFont="1" applyFill="1" applyBorder="1" applyAlignment="1">
      <alignment vertical="top"/>
    </xf>
    <xf numFmtId="0" fontId="4" fillId="18" borderId="1" xfId="0" applyFont="1" applyFill="1" applyBorder="1" applyAlignment="1">
      <alignment horizontal="left" vertical="top"/>
    </xf>
    <xf numFmtId="0" fontId="4" fillId="18" borderId="27" xfId="0" applyFont="1" applyFill="1" applyBorder="1" applyAlignment="1">
      <alignment vertical="top"/>
    </xf>
    <xf numFmtId="0" fontId="1" fillId="19" borderId="28" xfId="0" applyFont="1" applyFill="1" applyBorder="1" applyAlignment="1">
      <alignment vertical="top"/>
    </xf>
    <xf numFmtId="0" fontId="5" fillId="11" borderId="29" xfId="0" applyFont="1" applyFill="1" applyBorder="1" applyAlignment="1">
      <alignment vertical="top"/>
    </xf>
    <xf numFmtId="0" fontId="5" fillId="12" borderId="30" xfId="0" applyFont="1" applyFill="1" applyBorder="1" applyAlignment="1">
      <alignment horizontal="center" vertical="top"/>
    </xf>
    <xf numFmtId="0" fontId="4" fillId="11" borderId="41" xfId="0" applyFont="1" applyFill="1" applyBorder="1" applyAlignment="1">
      <alignment horizontal="left" vertical="top"/>
    </xf>
    <xf numFmtId="0" fontId="5" fillId="11" borderId="46" xfId="0" applyFont="1" applyFill="1" applyBorder="1" applyAlignment="1">
      <alignment vertical="top"/>
    </xf>
    <xf numFmtId="0" fontId="4" fillId="12" borderId="47" xfId="0" applyFont="1" applyFill="1" applyBorder="1" applyAlignment="1">
      <alignment vertical="top"/>
    </xf>
    <xf numFmtId="0" fontId="4" fillId="12" borderId="47" xfId="0" applyFont="1" applyFill="1" applyBorder="1" applyAlignment="1">
      <alignment horizontal="center" vertical="top"/>
    </xf>
    <xf numFmtId="0" fontId="5" fillId="12" borderId="47" xfId="0" applyFont="1" applyFill="1" applyBorder="1" applyAlignment="1">
      <alignment horizontal="center" vertical="top"/>
    </xf>
    <xf numFmtId="0" fontId="4" fillId="12" borderId="70" xfId="0" applyFont="1" applyFill="1" applyBorder="1" applyAlignment="1">
      <alignment vertical="top"/>
    </xf>
    <xf numFmtId="0" fontId="5" fillId="11" borderId="69" xfId="0" applyFont="1" applyFill="1" applyBorder="1" applyAlignment="1">
      <alignment vertical="top"/>
    </xf>
    <xf numFmtId="0" fontId="4" fillId="12" borderId="41" xfId="0" applyFont="1" applyFill="1" applyBorder="1" applyAlignment="1">
      <alignment vertical="top"/>
    </xf>
    <xf numFmtId="0" fontId="4" fillId="12" borderId="41" xfId="0" applyFont="1" applyFill="1" applyBorder="1" applyAlignment="1">
      <alignment horizontal="center" vertical="top"/>
    </xf>
    <xf numFmtId="0" fontId="5" fillId="12" borderId="41" xfId="0" applyFont="1" applyFill="1" applyBorder="1" applyAlignment="1">
      <alignment horizontal="center" vertical="top"/>
    </xf>
    <xf numFmtId="0" fontId="4" fillId="12" borderId="71" xfId="0" applyFont="1" applyFill="1" applyBorder="1" applyAlignment="1">
      <alignment vertical="top"/>
    </xf>
    <xf numFmtId="0" fontId="5" fillId="13" borderId="0" xfId="0" applyFont="1" applyFill="1" applyAlignment="1">
      <alignment vertical="top" wrapText="1"/>
    </xf>
    <xf numFmtId="0" fontId="2" fillId="11" borderId="27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/>
    </xf>
    <xf numFmtId="0" fontId="2" fillId="12" borderId="1" xfId="0" applyFont="1" applyFill="1" applyBorder="1" applyAlignment="1">
      <alignment horizontal="center" vertical="top"/>
    </xf>
    <xf numFmtId="0" fontId="2" fillId="12" borderId="28" xfId="0" applyFont="1" applyFill="1" applyBorder="1" applyAlignment="1">
      <alignment vertical="top"/>
    </xf>
    <xf numFmtId="0" fontId="2" fillId="11" borderId="29" xfId="0" applyFont="1" applyFill="1" applyBorder="1" applyAlignment="1">
      <alignment vertical="top"/>
    </xf>
    <xf numFmtId="0" fontId="2" fillId="12" borderId="30" xfId="0" applyFont="1" applyFill="1" applyBorder="1" applyAlignment="1">
      <alignment vertical="top"/>
    </xf>
    <xf numFmtId="0" fontId="2" fillId="12" borderId="30" xfId="0" applyFont="1" applyFill="1" applyBorder="1" applyAlignment="1">
      <alignment horizontal="center" vertical="top"/>
    </xf>
    <xf numFmtId="0" fontId="2" fillId="12" borderId="31" xfId="0" applyFont="1" applyFill="1" applyBorder="1" applyAlignment="1">
      <alignment vertical="top"/>
    </xf>
    <xf numFmtId="0" fontId="4" fillId="11" borderId="65" xfId="0" applyFont="1" applyFill="1" applyBorder="1" applyAlignment="1">
      <alignment vertical="top"/>
    </xf>
    <xf numFmtId="0" fontId="4" fillId="11" borderId="41" xfId="0" applyFont="1" applyFill="1" applyBorder="1" applyAlignment="1">
      <alignment vertical="top" wrapText="1"/>
    </xf>
    <xf numFmtId="0" fontId="4" fillId="11" borderId="51" xfId="0" applyFont="1" applyFill="1" applyBorder="1" applyAlignment="1">
      <alignment vertical="top"/>
    </xf>
    <xf numFmtId="0" fontId="4" fillId="11" borderId="52" xfId="0" applyFont="1" applyFill="1" applyBorder="1" applyAlignment="1">
      <alignment vertical="top"/>
    </xf>
    <xf numFmtId="0" fontId="4" fillId="11" borderId="52" xfId="0" applyFont="1" applyFill="1" applyBorder="1" applyAlignment="1">
      <alignment horizontal="center" vertical="top"/>
    </xf>
    <xf numFmtId="0" fontId="4" fillId="11" borderId="53" xfId="0" applyFont="1" applyFill="1" applyBorder="1" applyAlignment="1">
      <alignment vertical="top"/>
    </xf>
    <xf numFmtId="0" fontId="5" fillId="16" borderId="0" xfId="0" applyFont="1" applyFill="1" applyAlignment="1">
      <alignment vertical="top" wrapText="1"/>
    </xf>
    <xf numFmtId="0" fontId="1" fillId="18" borderId="3" xfId="0" applyFont="1" applyFill="1" applyBorder="1" applyAlignment="1">
      <alignment vertical="top"/>
    </xf>
    <xf numFmtId="0" fontId="4" fillId="19" borderId="2" xfId="0" applyFont="1" applyFill="1" applyBorder="1" applyAlignment="1">
      <alignment vertical="top"/>
    </xf>
    <xf numFmtId="0" fontId="1" fillId="18" borderId="64" xfId="0" applyFont="1" applyFill="1" applyBorder="1" applyAlignment="1">
      <alignment vertical="top"/>
    </xf>
    <xf numFmtId="0" fontId="4" fillId="19" borderId="7" xfId="0" applyFont="1" applyFill="1" applyBorder="1" applyAlignment="1">
      <alignment vertical="top"/>
    </xf>
    <xf numFmtId="0" fontId="4" fillId="19" borderId="7" xfId="0" applyFont="1" applyFill="1" applyBorder="1" applyAlignment="1">
      <alignment horizontal="center" vertical="top"/>
    </xf>
    <xf numFmtId="0" fontId="1" fillId="19" borderId="7" xfId="0" applyFont="1" applyFill="1" applyBorder="1" applyAlignment="1">
      <alignment horizontal="center" vertical="top"/>
    </xf>
    <xf numFmtId="0" fontId="4" fillId="19" borderId="59" xfId="0" applyFont="1" applyFill="1" applyBorder="1" applyAlignment="1">
      <alignment vertical="top"/>
    </xf>
    <xf numFmtId="0" fontId="1" fillId="18" borderId="76" xfId="0" applyFont="1" applyFill="1" applyBorder="1" applyAlignment="1">
      <alignment vertical="top"/>
    </xf>
    <xf numFmtId="0" fontId="4" fillId="19" borderId="47" xfId="0" applyFont="1" applyFill="1" applyBorder="1" applyAlignment="1">
      <alignment vertical="top"/>
    </xf>
    <xf numFmtId="0" fontId="4" fillId="19" borderId="47" xfId="0" applyFont="1" applyFill="1" applyBorder="1" applyAlignment="1">
      <alignment horizontal="center" vertical="top"/>
    </xf>
    <xf numFmtId="0" fontId="1" fillId="19" borderId="47" xfId="0" applyFont="1" applyFill="1" applyBorder="1" applyAlignment="1">
      <alignment horizontal="center" vertical="top"/>
    </xf>
    <xf numFmtId="0" fontId="4" fillId="19" borderId="58" xfId="0" applyFont="1" applyFill="1" applyBorder="1" applyAlignment="1">
      <alignment vertical="top"/>
    </xf>
    <xf numFmtId="0" fontId="1" fillId="20" borderId="27" xfId="0" applyFont="1" applyFill="1" applyBorder="1" applyAlignment="1">
      <alignment vertical="top"/>
    </xf>
    <xf numFmtId="0" fontId="4" fillId="20" borderId="1" xfId="0" applyFont="1" applyFill="1" applyBorder="1" applyAlignment="1">
      <alignment vertical="top"/>
    </xf>
    <xf numFmtId="0" fontId="4" fillId="20" borderId="1" xfId="0" applyFont="1" applyFill="1" applyBorder="1" applyAlignment="1">
      <alignment horizontal="center" vertical="top"/>
    </xf>
    <xf numFmtId="0" fontId="1" fillId="20" borderId="1" xfId="0" applyFont="1" applyFill="1" applyBorder="1" applyAlignment="1">
      <alignment horizontal="center" vertical="top"/>
    </xf>
    <xf numFmtId="0" fontId="4" fillId="21" borderId="28" xfId="0" applyFont="1" applyFill="1" applyBorder="1" applyAlignment="1">
      <alignment vertical="top"/>
    </xf>
    <xf numFmtId="0" fontId="5" fillId="19" borderId="1" xfId="0" applyFont="1" applyFill="1" applyBorder="1" applyAlignment="1">
      <alignment vertical="top"/>
    </xf>
    <xf numFmtId="0" fontId="5" fillId="19" borderId="1" xfId="0" applyFont="1" applyFill="1" applyBorder="1" applyAlignment="1">
      <alignment horizontal="center" vertical="top"/>
    </xf>
    <xf numFmtId="0" fontId="5" fillId="19" borderId="28" xfId="0" applyFont="1" applyFill="1" applyBorder="1" applyAlignment="1">
      <alignment vertical="top"/>
    </xf>
    <xf numFmtId="0" fontId="1" fillId="18" borderId="78" xfId="0" applyFont="1" applyFill="1" applyBorder="1" applyAlignment="1">
      <alignment vertical="top"/>
    </xf>
    <xf numFmtId="0" fontId="5" fillId="19" borderId="77" xfId="0" applyFont="1" applyFill="1" applyBorder="1" applyAlignment="1">
      <alignment vertical="top"/>
    </xf>
    <xf numFmtId="0" fontId="5" fillId="19" borderId="77" xfId="0" applyFont="1" applyFill="1" applyBorder="1" applyAlignment="1">
      <alignment horizontal="center" vertical="top"/>
    </xf>
    <xf numFmtId="0" fontId="1" fillId="19" borderId="77" xfId="0" applyFont="1" applyFill="1" applyBorder="1" applyAlignment="1">
      <alignment horizontal="center" vertical="top"/>
    </xf>
    <xf numFmtId="0" fontId="5" fillId="19" borderId="79" xfId="0" applyFont="1" applyFill="1" applyBorder="1" applyAlignment="1">
      <alignment vertical="top"/>
    </xf>
    <xf numFmtId="0" fontId="4" fillId="0" borderId="0" xfId="0" applyFont="1"/>
    <xf numFmtId="0" fontId="2" fillId="22" borderId="0" xfId="0" applyFont="1" applyFill="1"/>
    <xf numFmtId="0" fontId="1" fillId="13" borderId="1" xfId="0" applyFont="1" applyFill="1" applyBorder="1" applyAlignment="1">
      <alignment horizontal="center" vertical="top"/>
    </xf>
    <xf numFmtId="0" fontId="2" fillId="0" borderId="28" xfId="0" applyFont="1" applyBorder="1" applyAlignment="1">
      <alignment vertical="top"/>
    </xf>
    <xf numFmtId="0" fontId="2" fillId="0" borderId="27" xfId="0" applyFont="1" applyBorder="1" applyAlignment="1">
      <alignment horizontal="left" vertical="top"/>
    </xf>
    <xf numFmtId="0" fontId="2" fillId="2" borderId="30" xfId="0" applyFont="1" applyFill="1" applyBorder="1" applyAlignment="1">
      <alignment vertical="top"/>
    </xf>
    <xf numFmtId="0" fontId="2" fillId="2" borderId="31" xfId="0" applyFont="1" applyFill="1" applyBorder="1" applyAlignment="1">
      <alignment vertical="top"/>
    </xf>
    <xf numFmtId="0" fontId="1" fillId="6" borderId="27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center" vertical="top"/>
    </xf>
    <xf numFmtId="0" fontId="1" fillId="13" borderId="46" xfId="0" applyFont="1" applyFill="1" applyBorder="1" applyAlignment="1">
      <alignment horizontal="left" vertical="top"/>
    </xf>
    <xf numFmtId="0" fontId="1" fillId="13" borderId="72" xfId="0" applyFont="1" applyFill="1" applyBorder="1" applyAlignment="1">
      <alignment vertical="top" wrapText="1"/>
    </xf>
    <xf numFmtId="0" fontId="1" fillId="13" borderId="73" xfId="0" applyFont="1" applyFill="1" applyBorder="1" applyAlignment="1">
      <alignment vertical="top" wrapText="1"/>
    </xf>
    <xf numFmtId="0" fontId="2" fillId="18" borderId="27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center" vertical="top"/>
    </xf>
    <xf numFmtId="0" fontId="1" fillId="5" borderId="28" xfId="0" applyFont="1" applyFill="1" applyBorder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4" fillId="8" borderId="34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" fillId="8" borderId="34" xfId="0" applyFont="1" applyFill="1" applyBorder="1" applyAlignment="1">
      <alignment horizontal="left" vertical="top" wrapText="1"/>
    </xf>
    <xf numFmtId="0" fontId="6" fillId="0" borderId="34" xfId="0" applyFont="1" applyBorder="1" applyAlignment="1">
      <alignment horizontal="center" vertical="top" wrapText="1"/>
    </xf>
    <xf numFmtId="0" fontId="6" fillId="0" borderId="59" xfId="0" applyFont="1" applyBorder="1" applyAlignment="1">
      <alignment horizontal="left" vertical="top" wrapText="1"/>
    </xf>
    <xf numFmtId="0" fontId="6" fillId="0" borderId="63" xfId="0" applyFont="1" applyBorder="1" applyAlignment="1">
      <alignment horizontal="left" vertical="top" wrapText="1"/>
    </xf>
    <xf numFmtId="0" fontId="6" fillId="0" borderId="63" xfId="0" applyFont="1" applyBorder="1" applyAlignment="1">
      <alignment horizontal="right" vertical="top" wrapText="1"/>
    </xf>
    <xf numFmtId="0" fontId="6" fillId="0" borderId="64" xfId="0" applyFont="1" applyBorder="1" applyAlignment="1">
      <alignment horizontal="right" vertical="top" wrapText="1"/>
    </xf>
    <xf numFmtId="0" fontId="6" fillId="0" borderId="61" xfId="0" applyFont="1" applyBorder="1" applyAlignment="1">
      <alignment horizontal="right" vertical="top" wrapText="1"/>
    </xf>
    <xf numFmtId="0" fontId="6" fillId="0" borderId="62" xfId="0" applyFont="1" applyBorder="1" applyAlignment="1">
      <alignment horizontal="right" vertical="top" wrapText="1"/>
    </xf>
    <xf numFmtId="0" fontId="8" fillId="3" borderId="0" xfId="0" applyFont="1" applyFill="1" applyAlignment="1">
      <alignment horizontal="left" vertical="top" wrapText="1"/>
    </xf>
    <xf numFmtId="0" fontId="13" fillId="4" borderId="6" xfId="0" applyFont="1" applyFill="1" applyBorder="1" applyAlignment="1">
      <alignment horizontal="left" vertical="top"/>
    </xf>
    <xf numFmtId="0" fontId="8" fillId="11" borderId="0" xfId="0" applyFont="1" applyFill="1" applyAlignment="1">
      <alignment horizontal="left" vertical="top" wrapText="1"/>
    </xf>
    <xf numFmtId="0" fontId="6" fillId="0" borderId="60" xfId="0" applyFont="1" applyBorder="1" applyAlignment="1">
      <alignment horizontal="left" vertical="top" wrapText="1"/>
    </xf>
    <xf numFmtId="0" fontId="6" fillId="0" borderId="61" xfId="0" applyFont="1" applyBorder="1" applyAlignment="1">
      <alignment horizontal="left" vertical="top" wrapText="1"/>
    </xf>
    <xf numFmtId="0" fontId="6" fillId="0" borderId="61" xfId="0" applyFont="1" applyBorder="1" applyAlignment="1">
      <alignment horizontal="center" vertical="top" wrapText="1"/>
    </xf>
    <xf numFmtId="0" fontId="9" fillId="4" borderId="6" xfId="0" applyFont="1" applyFill="1" applyBorder="1" applyAlignment="1">
      <alignment horizontal="left" vertical="top"/>
    </xf>
    <xf numFmtId="0" fontId="17" fillId="11" borderId="0" xfId="0" applyFont="1" applyFill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15" fillId="0" borderId="12" xfId="0" applyFont="1" applyBorder="1" applyAlignment="1">
      <alignment horizontal="center" vertical="top" wrapText="1"/>
    </xf>
    <xf numFmtId="0" fontId="15" fillId="0" borderId="4" xfId="0" applyFont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20" xfId="0" applyFont="1" applyBorder="1" applyAlignment="1">
      <alignment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8" xfId="0" applyFont="1" applyBorder="1" applyAlignment="1">
      <alignment vertical="top" wrapText="1"/>
    </xf>
    <xf numFmtId="0" fontId="8" fillId="3" borderId="8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1" fillId="4" borderId="6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right" vertical="top"/>
    </xf>
    <xf numFmtId="0" fontId="3" fillId="2" borderId="60" xfId="0" applyFont="1" applyFill="1" applyBorder="1" applyAlignment="1">
      <alignment horizontal="right" vertical="top"/>
    </xf>
    <xf numFmtId="0" fontId="3" fillId="2" borderId="61" xfId="0" applyFont="1" applyFill="1" applyBorder="1" applyAlignment="1">
      <alignment horizontal="right" vertical="top"/>
    </xf>
    <xf numFmtId="0" fontId="3" fillId="2" borderId="62" xfId="0" applyFont="1" applyFill="1" applyBorder="1" applyAlignment="1">
      <alignment horizontal="right" vertical="top"/>
    </xf>
    <xf numFmtId="0" fontId="6" fillId="0" borderId="59" xfId="0" applyFont="1" applyBorder="1" applyAlignment="1">
      <alignment vertical="top" wrapText="1"/>
    </xf>
    <xf numFmtId="0" fontId="6" fillId="0" borderId="63" xfId="0" applyFont="1" applyBorder="1" applyAlignment="1">
      <alignment vertical="top" wrapText="1"/>
    </xf>
    <xf numFmtId="0" fontId="6" fillId="0" borderId="64" xfId="0" applyFont="1" applyBorder="1" applyAlignment="1">
      <alignment vertical="top" wrapText="1"/>
    </xf>
    <xf numFmtId="0" fontId="9" fillId="4" borderId="42" xfId="0" applyFont="1" applyFill="1" applyBorder="1" applyAlignment="1">
      <alignment horizontal="left" vertical="top"/>
    </xf>
    <xf numFmtId="0" fontId="9" fillId="4" borderId="43" xfId="0" applyFont="1" applyFill="1" applyBorder="1" applyAlignment="1">
      <alignment horizontal="left" vertical="top"/>
    </xf>
    <xf numFmtId="0" fontId="9" fillId="4" borderId="44" xfId="0" applyFont="1" applyFill="1" applyBorder="1" applyAlignment="1">
      <alignment horizontal="left" vertical="top"/>
    </xf>
    <xf numFmtId="0" fontId="10" fillId="4" borderId="42" xfId="0" applyFont="1" applyFill="1" applyBorder="1" applyAlignment="1">
      <alignment horizontal="left" vertical="top"/>
    </xf>
    <xf numFmtId="0" fontId="10" fillId="4" borderId="43" xfId="0" applyFont="1" applyFill="1" applyBorder="1" applyAlignment="1">
      <alignment horizontal="left" vertical="top"/>
    </xf>
    <xf numFmtId="0" fontId="10" fillId="4" borderId="44" xfId="0" applyFont="1" applyFill="1" applyBorder="1" applyAlignment="1">
      <alignment horizontal="left" vertical="top"/>
    </xf>
    <xf numFmtId="0" fontId="11" fillId="15" borderId="6" xfId="0" applyFont="1" applyFill="1" applyBorder="1" applyAlignment="1">
      <alignment horizontal="left" vertical="top"/>
    </xf>
    <xf numFmtId="0" fontId="6" fillId="0" borderId="75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6" fillId="0" borderId="68" xfId="0" applyFont="1" applyBorder="1" applyAlignment="1">
      <alignment vertical="top" wrapText="1"/>
    </xf>
    <xf numFmtId="0" fontId="4" fillId="0" borderId="63" xfId="0" applyFont="1" applyBorder="1" applyAlignment="1">
      <alignment horizontal="center"/>
    </xf>
    <xf numFmtId="0" fontId="4" fillId="6" borderId="28" xfId="0" applyFont="1" applyFill="1" applyBorder="1" applyAlignment="1">
      <alignment vertical="top"/>
    </xf>
    <xf numFmtId="0" fontId="1" fillId="6" borderId="27" xfId="0" applyFont="1" applyFill="1" applyBorder="1" applyAlignment="1">
      <alignment horizontal="left" vertical="top"/>
    </xf>
  </cellXfs>
  <cellStyles count="3">
    <cellStyle name="Normál" xfId="0" builtinId="0"/>
    <cellStyle name="Normál 2" xfId="1" xr:uid="{00000000-0005-0000-0000-000001000000}"/>
    <cellStyle name="Normál 3" xfId="2" xr:uid="{5C66F607-D60E-4D32-ABD6-136E0B0E67F3}"/>
  </cellStyles>
  <dxfs count="22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solid">
          <fgColor indexed="64"/>
          <bgColor theme="8" tint="0.39997558519241921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fill>
        <patternFill patternType="solid">
          <fgColor rgb="FFFFFFFF"/>
          <bgColor theme="8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DBA1CE-FCEE-45A0-B822-9B5E41802ACA}" name="Table2" displayName="Table2" ref="A7:N11" totalsRowShown="0" headerRowDxfId="21" dataDxfId="19" headerRowBorderDxfId="20" tableBorderDxfId="18" totalsRowBorderDxfId="17">
  <autoFilter ref="A7:N11" xr:uid="{32DBA1CE-FCEE-45A0-B822-9B5E41802ACA}"/>
  <tableColumns count="14">
    <tableColumn id="1" xr3:uid="{60D58A2F-EA9B-4C0B-AF4D-B4FF27CD34A3}" name="Kurzuskód" dataDxfId="16"/>
    <tableColumn id="2" xr3:uid="{340072CD-78DA-4104-9148-E219FFEC4667}" name="Kurzus Címe" dataDxfId="15"/>
    <tableColumn id="3" xr3:uid="{5A66781F-753B-43D4-8E39-FAE659B9D2FE}" name="Column3" dataDxfId="14"/>
    <tableColumn id="4" xr3:uid="{A5853B7B-4B1A-47E3-8DA0-FA96AC88DC01}" name="Column4" dataDxfId="13"/>
    <tableColumn id="5" xr3:uid="{B2CF3AE1-715B-4C40-BC60-57057B078F32}" name="Column5" dataDxfId="12"/>
    <tableColumn id="6" xr3:uid="{E7AB45D2-D597-43DE-9315-36E5DF9A90C8}" name="0" dataDxfId="11"/>
    <tableColumn id="7" xr3:uid="{1C0C3A92-5530-4DD5-B728-B74F41038052}" name="1" dataDxfId="10"/>
    <tableColumn id="8" xr3:uid="{4E3B7B3A-C7A5-469B-9504-429919447E89}" name="2" dataDxfId="9"/>
    <tableColumn id="9" xr3:uid="{59E2C485-2EFF-485D-9C8A-F56EF07FA64A}" name="3" dataDxfId="8"/>
    <tableColumn id="10" xr3:uid="{F7CBA13B-B253-483B-8455-9C98FE72115F}" name="4" dataDxfId="7"/>
    <tableColumn id="11" xr3:uid="{0454A08E-E2A2-4737-94AF-2BF63FBA30DF}" name="5" dataDxfId="6"/>
    <tableColumn id="12" xr3:uid="{4303C50F-D90C-40AA-938E-B1761C57787B}" name="6" dataDxfId="5"/>
    <tableColumn id="13" xr3:uid="{A8EA6FD2-E540-4F95-B73C-C700B580C2BE}" name="Kredit" dataDxfId="4"/>
    <tableColumn id="14" xr3:uid="{62052966-606C-4BDE-A81C-720E554630D6}" name="Column1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49"/>
  <sheetViews>
    <sheetView tabSelected="1" zoomScaleNormal="100" workbookViewId="0">
      <pane ySplit="5" topLeftCell="A183" activePane="bottomLeft" state="frozen"/>
      <selection pane="bottomLeft" activeCell="M144" sqref="M143:M144"/>
    </sheetView>
  </sheetViews>
  <sheetFormatPr defaultColWidth="14.42578125" defaultRowHeight="15" customHeight="1" x14ac:dyDescent="0.2"/>
  <cols>
    <col min="1" max="1" width="21.42578125" style="62" customWidth="1"/>
    <col min="2" max="2" width="46.85546875" style="62" bestFit="1" customWidth="1"/>
    <col min="3" max="3" width="21.42578125" style="62" bestFit="1" customWidth="1"/>
    <col min="4" max="4" width="27.7109375" style="62" customWidth="1"/>
    <col min="5" max="5" width="16.42578125" style="62" customWidth="1"/>
    <col min="6" max="10" width="3.7109375" style="62" customWidth="1"/>
    <col min="11" max="12" width="5" style="62" customWidth="1"/>
    <col min="13" max="13" width="8.42578125" style="62" customWidth="1"/>
    <col min="14" max="14" width="15.42578125" style="62" customWidth="1"/>
    <col min="15" max="15" width="38.5703125" style="172" customWidth="1"/>
    <col min="16" max="18" width="12" style="62" customWidth="1"/>
    <col min="19" max="16384" width="14.42578125" style="62"/>
  </cols>
  <sheetData>
    <row r="1" spans="1:18" ht="15.75" customHeight="1" thickBot="1" x14ac:dyDescent="0.25">
      <c r="A1" s="383" t="s">
        <v>168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90"/>
    </row>
    <row r="2" spans="1:18" ht="15.75" customHeight="1" thickBot="1" x14ac:dyDescent="0.25">
      <c r="A2" s="1" t="s">
        <v>169</v>
      </c>
      <c r="B2" s="2" t="s">
        <v>170</v>
      </c>
      <c r="C2" s="384" t="s">
        <v>171</v>
      </c>
      <c r="D2" s="385"/>
      <c r="E2" s="3" t="s">
        <v>174</v>
      </c>
      <c r="F2" s="63" t="s">
        <v>175</v>
      </c>
      <c r="G2" s="64"/>
      <c r="H2" s="64"/>
      <c r="I2" s="64"/>
      <c r="J2" s="64"/>
      <c r="K2" s="64"/>
      <c r="L2" s="64"/>
      <c r="M2" s="64"/>
      <c r="N2" s="65"/>
      <c r="O2" s="90"/>
    </row>
    <row r="3" spans="1:18" ht="15" customHeight="1" x14ac:dyDescent="0.2">
      <c r="A3" s="389" t="s">
        <v>172</v>
      </c>
      <c r="B3" s="386" t="s">
        <v>1</v>
      </c>
      <c r="C3" s="386" t="s">
        <v>2</v>
      </c>
      <c r="D3" s="386" t="s">
        <v>173</v>
      </c>
      <c r="E3" s="395" t="s">
        <v>413</v>
      </c>
      <c r="F3" s="400" t="s">
        <v>3</v>
      </c>
      <c r="G3" s="401"/>
      <c r="H3" s="401"/>
      <c r="I3" s="401"/>
      <c r="J3" s="401"/>
      <c r="K3" s="401"/>
      <c r="L3" s="401"/>
      <c r="M3" s="386" t="s">
        <v>176</v>
      </c>
      <c r="N3" s="392" t="s">
        <v>177</v>
      </c>
      <c r="O3" s="368" t="s">
        <v>323</v>
      </c>
    </row>
    <row r="4" spans="1:18" ht="15.75" customHeight="1" x14ac:dyDescent="0.2">
      <c r="A4" s="390"/>
      <c r="B4" s="387"/>
      <c r="C4" s="387"/>
      <c r="D4" s="387"/>
      <c r="E4" s="396"/>
      <c r="F4" s="4">
        <v>0</v>
      </c>
      <c r="G4" s="4">
        <v>1</v>
      </c>
      <c r="H4" s="4">
        <v>2</v>
      </c>
      <c r="I4" s="4">
        <v>3</v>
      </c>
      <c r="J4" s="4">
        <v>4</v>
      </c>
      <c r="K4" s="4">
        <v>5</v>
      </c>
      <c r="L4" s="4">
        <v>6</v>
      </c>
      <c r="M4" s="387"/>
      <c r="N4" s="393"/>
      <c r="O4" s="368"/>
      <c r="P4" s="365" t="s">
        <v>176</v>
      </c>
      <c r="Q4" s="365" t="s">
        <v>469</v>
      </c>
      <c r="R4" s="366" t="s">
        <v>475</v>
      </c>
    </row>
    <row r="5" spans="1:18" ht="13.5" thickBot="1" x14ac:dyDescent="0.25">
      <c r="A5" s="391"/>
      <c r="B5" s="388"/>
      <c r="C5" s="388"/>
      <c r="D5" s="388"/>
      <c r="E5" s="397"/>
      <c r="F5" s="398" t="s">
        <v>4</v>
      </c>
      <c r="G5" s="399"/>
      <c r="H5" s="399"/>
      <c r="I5" s="399"/>
      <c r="J5" s="399"/>
      <c r="K5" s="399"/>
      <c r="L5" s="399"/>
      <c r="M5" s="388"/>
      <c r="N5" s="394"/>
      <c r="O5" s="368"/>
      <c r="P5" s="365"/>
      <c r="Q5" s="365"/>
      <c r="R5" s="366"/>
    </row>
    <row r="6" spans="1:18" ht="15.75" customHeight="1" x14ac:dyDescent="0.2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90"/>
    </row>
    <row r="7" spans="1:18" ht="26.25" thickBot="1" x14ac:dyDescent="0.25">
      <c r="A7" s="377" t="s">
        <v>457</v>
      </c>
      <c r="B7" s="377"/>
      <c r="C7" s="377"/>
      <c r="D7" s="377"/>
      <c r="E7" s="377"/>
      <c r="F7" s="377"/>
      <c r="G7" s="377"/>
      <c r="H7" s="377"/>
      <c r="I7" s="377"/>
      <c r="J7" s="377"/>
      <c r="K7" s="377"/>
      <c r="L7" s="377"/>
      <c r="M7" s="377"/>
      <c r="N7" s="377"/>
      <c r="O7" s="170" t="s">
        <v>467</v>
      </c>
      <c r="P7" s="62">
        <v>34</v>
      </c>
      <c r="Q7" s="62">
        <f>34-46</f>
        <v>-12</v>
      </c>
      <c r="R7" s="62">
        <v>34</v>
      </c>
    </row>
    <row r="8" spans="1:18" ht="15.75" customHeight="1" x14ac:dyDescent="0.2">
      <c r="A8" s="184" t="s">
        <v>5</v>
      </c>
      <c r="B8" s="185" t="s">
        <v>6</v>
      </c>
      <c r="C8" s="185" t="s">
        <v>423</v>
      </c>
      <c r="D8" s="185"/>
      <c r="E8" s="185"/>
      <c r="F8" s="186"/>
      <c r="G8" s="186">
        <v>2</v>
      </c>
      <c r="H8" s="186"/>
      <c r="I8" s="186"/>
      <c r="J8" s="186"/>
      <c r="K8" s="186"/>
      <c r="L8" s="186"/>
      <c r="M8" s="187">
        <v>2</v>
      </c>
      <c r="N8" s="188" t="s">
        <v>7</v>
      </c>
      <c r="O8" s="90"/>
    </row>
    <row r="9" spans="1:18" ht="15.75" customHeight="1" x14ac:dyDescent="0.2">
      <c r="A9" s="189" t="s">
        <v>8</v>
      </c>
      <c r="B9" s="190" t="s">
        <v>9</v>
      </c>
      <c r="C9" s="190" t="s">
        <v>423</v>
      </c>
      <c r="D9" s="190"/>
      <c r="E9" s="190"/>
      <c r="F9" s="191"/>
      <c r="G9" s="191">
        <v>2</v>
      </c>
      <c r="H9" s="191"/>
      <c r="I9" s="191"/>
      <c r="J9" s="191"/>
      <c r="K9" s="191"/>
      <c r="L9" s="191"/>
      <c r="M9" s="192">
        <v>3</v>
      </c>
      <c r="N9" s="193" t="s">
        <v>11</v>
      </c>
      <c r="O9" s="90"/>
    </row>
    <row r="10" spans="1:18" ht="15.75" customHeight="1" x14ac:dyDescent="0.2">
      <c r="A10" s="194" t="s">
        <v>12</v>
      </c>
      <c r="B10" s="190" t="s">
        <v>13</v>
      </c>
      <c r="C10" s="190" t="s">
        <v>14</v>
      </c>
      <c r="D10" s="190"/>
      <c r="E10" s="190"/>
      <c r="F10" s="191"/>
      <c r="G10" s="191">
        <v>2</v>
      </c>
      <c r="H10" s="191"/>
      <c r="I10" s="191"/>
      <c r="J10" s="191"/>
      <c r="K10" s="191"/>
      <c r="L10" s="191"/>
      <c r="M10" s="192">
        <v>2</v>
      </c>
      <c r="N10" s="193" t="s">
        <v>7</v>
      </c>
      <c r="O10" s="90"/>
    </row>
    <row r="11" spans="1:18" ht="15.75" customHeight="1" x14ac:dyDescent="0.2">
      <c r="A11" s="194" t="s">
        <v>15</v>
      </c>
      <c r="B11" s="190" t="s">
        <v>16</v>
      </c>
      <c r="C11" s="190" t="s">
        <v>14</v>
      </c>
      <c r="D11" s="190"/>
      <c r="E11" s="190"/>
      <c r="F11" s="191"/>
      <c r="G11" s="191">
        <v>2</v>
      </c>
      <c r="H11" s="191"/>
      <c r="I11" s="191"/>
      <c r="J11" s="191"/>
      <c r="K11" s="191"/>
      <c r="L11" s="191"/>
      <c r="M11" s="192">
        <v>3</v>
      </c>
      <c r="N11" s="193" t="s">
        <v>11</v>
      </c>
      <c r="O11" s="90"/>
    </row>
    <row r="12" spans="1:18" ht="15.75" customHeight="1" x14ac:dyDescent="0.2">
      <c r="A12" s="194" t="s">
        <v>17</v>
      </c>
      <c r="B12" s="190" t="s">
        <v>18</v>
      </c>
      <c r="C12" s="190" t="s">
        <v>19</v>
      </c>
      <c r="D12" s="190" t="s">
        <v>189</v>
      </c>
      <c r="E12" s="190" t="s">
        <v>20</v>
      </c>
      <c r="F12" s="191"/>
      <c r="G12" s="191"/>
      <c r="H12" s="191">
        <v>2</v>
      </c>
      <c r="I12" s="191"/>
      <c r="J12" s="191"/>
      <c r="K12" s="191"/>
      <c r="L12" s="191"/>
      <c r="M12" s="192">
        <v>2</v>
      </c>
      <c r="N12" s="193" t="s">
        <v>7</v>
      </c>
      <c r="O12" s="90"/>
    </row>
    <row r="13" spans="1:18" ht="15.75" customHeight="1" x14ac:dyDescent="0.2">
      <c r="A13" s="194" t="s">
        <v>21</v>
      </c>
      <c r="B13" s="190" t="s">
        <v>22</v>
      </c>
      <c r="C13" s="190" t="s">
        <v>19</v>
      </c>
      <c r="D13" s="190" t="s">
        <v>189</v>
      </c>
      <c r="E13" s="190" t="s">
        <v>20</v>
      </c>
      <c r="F13" s="191"/>
      <c r="G13" s="191"/>
      <c r="H13" s="191">
        <v>2</v>
      </c>
      <c r="I13" s="191"/>
      <c r="J13" s="191"/>
      <c r="K13" s="191"/>
      <c r="L13" s="191"/>
      <c r="M13" s="192">
        <v>3</v>
      </c>
      <c r="N13" s="193" t="s">
        <v>11</v>
      </c>
      <c r="O13" s="90"/>
    </row>
    <row r="14" spans="1:18" ht="15.75" customHeight="1" x14ac:dyDescent="0.2">
      <c r="A14" s="195" t="s">
        <v>178</v>
      </c>
      <c r="B14" s="196" t="s">
        <v>27</v>
      </c>
      <c r="C14" s="196" t="s">
        <v>28</v>
      </c>
      <c r="D14" s="196" t="s">
        <v>5</v>
      </c>
      <c r="E14" s="196" t="s">
        <v>20</v>
      </c>
      <c r="F14" s="197"/>
      <c r="G14" s="197"/>
      <c r="H14" s="197">
        <v>2</v>
      </c>
      <c r="I14" s="197"/>
      <c r="J14" s="197"/>
      <c r="K14" s="197"/>
      <c r="L14" s="197"/>
      <c r="M14" s="197">
        <v>2</v>
      </c>
      <c r="N14" s="198" t="s">
        <v>7</v>
      </c>
      <c r="O14" s="367" t="s">
        <v>468</v>
      </c>
      <c r="P14" s="8"/>
    </row>
    <row r="15" spans="1:18" ht="15.75" customHeight="1" x14ac:dyDescent="0.2">
      <c r="A15" s="195" t="s">
        <v>179</v>
      </c>
      <c r="B15" s="196" t="s">
        <v>29</v>
      </c>
      <c r="C15" s="196" t="s">
        <v>28</v>
      </c>
      <c r="D15" s="196" t="s">
        <v>5</v>
      </c>
      <c r="E15" s="196" t="s">
        <v>20</v>
      </c>
      <c r="F15" s="197"/>
      <c r="G15" s="197"/>
      <c r="H15" s="197">
        <v>1</v>
      </c>
      <c r="I15" s="197"/>
      <c r="J15" s="197"/>
      <c r="K15" s="197"/>
      <c r="L15" s="197"/>
      <c r="M15" s="197">
        <v>2</v>
      </c>
      <c r="N15" s="198" t="s">
        <v>11</v>
      </c>
      <c r="O15" s="367"/>
    </row>
    <row r="16" spans="1:18" ht="15.75" customHeight="1" x14ac:dyDescent="0.2">
      <c r="A16" s="199" t="s">
        <v>23</v>
      </c>
      <c r="B16" s="190" t="s">
        <v>24</v>
      </c>
      <c r="C16" s="190" t="s">
        <v>19</v>
      </c>
      <c r="D16" s="190" t="s">
        <v>17</v>
      </c>
      <c r="E16" s="190" t="s">
        <v>20</v>
      </c>
      <c r="F16" s="191"/>
      <c r="G16" s="191"/>
      <c r="H16" s="191"/>
      <c r="I16" s="191">
        <v>2</v>
      </c>
      <c r="J16" s="191"/>
      <c r="K16" s="191"/>
      <c r="L16" s="191"/>
      <c r="M16" s="192">
        <v>2</v>
      </c>
      <c r="N16" s="193" t="s">
        <v>7</v>
      </c>
      <c r="O16" s="90"/>
    </row>
    <row r="17" spans="1:17" ht="15.75" customHeight="1" x14ac:dyDescent="0.2">
      <c r="A17" s="199" t="s">
        <v>25</v>
      </c>
      <c r="B17" s="190" t="s">
        <v>26</v>
      </c>
      <c r="C17" s="190" t="s">
        <v>19</v>
      </c>
      <c r="D17" s="190" t="s">
        <v>17</v>
      </c>
      <c r="E17" s="190" t="s">
        <v>20</v>
      </c>
      <c r="F17" s="191"/>
      <c r="G17" s="191"/>
      <c r="H17" s="191"/>
      <c r="I17" s="191">
        <v>1</v>
      </c>
      <c r="J17" s="191"/>
      <c r="K17" s="191"/>
      <c r="L17" s="191"/>
      <c r="M17" s="192">
        <v>1</v>
      </c>
      <c r="N17" s="193" t="s">
        <v>11</v>
      </c>
      <c r="O17" s="90"/>
    </row>
    <row r="18" spans="1:17" ht="15.75" customHeight="1" x14ac:dyDescent="0.2">
      <c r="A18" s="195" t="s">
        <v>180</v>
      </c>
      <c r="B18" s="196" t="s">
        <v>30</v>
      </c>
      <c r="C18" s="196" t="s">
        <v>28</v>
      </c>
      <c r="D18" s="196" t="s">
        <v>190</v>
      </c>
      <c r="E18" s="196" t="s">
        <v>20</v>
      </c>
      <c r="F18" s="197"/>
      <c r="G18" s="197"/>
      <c r="H18" s="197"/>
      <c r="I18" s="197">
        <v>2</v>
      </c>
      <c r="J18" s="197"/>
      <c r="K18" s="197"/>
      <c r="L18" s="197"/>
      <c r="M18" s="197">
        <v>2</v>
      </c>
      <c r="N18" s="198" t="s">
        <v>7</v>
      </c>
      <c r="O18" s="230" t="s">
        <v>470</v>
      </c>
    </row>
    <row r="19" spans="1:17" ht="15.75" customHeight="1" x14ac:dyDescent="0.2">
      <c r="A19" s="195" t="s">
        <v>181</v>
      </c>
      <c r="B19" s="196" t="s">
        <v>31</v>
      </c>
      <c r="C19" s="196" t="s">
        <v>28</v>
      </c>
      <c r="D19" s="196" t="s">
        <v>190</v>
      </c>
      <c r="E19" s="196" t="s">
        <v>20</v>
      </c>
      <c r="F19" s="197"/>
      <c r="G19" s="197"/>
      <c r="H19" s="197"/>
      <c r="I19" s="197">
        <v>1</v>
      </c>
      <c r="J19" s="197"/>
      <c r="K19" s="197"/>
      <c r="L19" s="197"/>
      <c r="M19" s="197">
        <v>2</v>
      </c>
      <c r="N19" s="198" t="s">
        <v>11</v>
      </c>
      <c r="O19" s="230"/>
    </row>
    <row r="20" spans="1:17" ht="15.75" customHeight="1" x14ac:dyDescent="0.2">
      <c r="A20" s="178"/>
      <c r="B20" s="180"/>
      <c r="C20" s="180"/>
      <c r="D20" s="180"/>
      <c r="E20" s="180"/>
      <c r="F20" s="180"/>
      <c r="G20" s="180"/>
      <c r="H20" s="179"/>
      <c r="I20" s="179"/>
      <c r="J20" s="179"/>
      <c r="K20" s="179"/>
      <c r="L20" s="179"/>
      <c r="M20" s="179"/>
      <c r="N20" s="181"/>
      <c r="O20" s="230" t="s">
        <v>471</v>
      </c>
      <c r="P20" s="8"/>
    </row>
    <row r="21" spans="1:17" ht="15.75" customHeight="1" x14ac:dyDescent="0.2">
      <c r="A21" s="178"/>
      <c r="B21" s="180"/>
      <c r="C21" s="180"/>
      <c r="D21" s="180"/>
      <c r="E21" s="180"/>
      <c r="F21" s="180"/>
      <c r="G21" s="180"/>
      <c r="H21" s="179"/>
      <c r="I21" s="179"/>
      <c r="J21" s="179"/>
      <c r="K21" s="179"/>
      <c r="L21" s="179"/>
      <c r="M21" s="179"/>
      <c r="N21" s="181"/>
      <c r="O21" s="230"/>
    </row>
    <row r="22" spans="1:17" ht="15.75" customHeight="1" x14ac:dyDescent="0.2">
      <c r="A22" s="200" t="s">
        <v>182</v>
      </c>
      <c r="B22" s="201" t="s">
        <v>32</v>
      </c>
      <c r="C22" s="190" t="s">
        <v>361</v>
      </c>
      <c r="D22" s="190"/>
      <c r="E22" s="190" t="s">
        <v>20</v>
      </c>
      <c r="F22" s="191"/>
      <c r="G22" s="191"/>
      <c r="H22" s="191"/>
      <c r="I22" s="191">
        <v>2</v>
      </c>
      <c r="J22" s="191"/>
      <c r="K22" s="191"/>
      <c r="L22" s="191"/>
      <c r="M22" s="192">
        <v>2</v>
      </c>
      <c r="N22" s="193" t="s">
        <v>7</v>
      </c>
      <c r="O22" s="90"/>
    </row>
    <row r="23" spans="1:17" ht="15.75" customHeight="1" x14ac:dyDescent="0.2">
      <c r="A23" s="202" t="s">
        <v>183</v>
      </c>
      <c r="B23" s="201" t="s">
        <v>34</v>
      </c>
      <c r="C23" s="190" t="s">
        <v>361</v>
      </c>
      <c r="D23" s="190"/>
      <c r="E23" s="190" t="s">
        <v>20</v>
      </c>
      <c r="F23" s="191"/>
      <c r="G23" s="191"/>
      <c r="H23" s="191"/>
      <c r="I23" s="191">
        <v>1</v>
      </c>
      <c r="J23" s="191"/>
      <c r="K23" s="191"/>
      <c r="L23" s="191"/>
      <c r="M23" s="192">
        <v>2</v>
      </c>
      <c r="N23" s="193" t="s">
        <v>11</v>
      </c>
      <c r="O23" s="90"/>
    </row>
    <row r="24" spans="1:17" ht="15.75" customHeight="1" x14ac:dyDescent="0.2">
      <c r="A24" s="200" t="s">
        <v>184</v>
      </c>
      <c r="B24" s="190" t="s">
        <v>35</v>
      </c>
      <c r="C24" s="190" t="s">
        <v>36</v>
      </c>
      <c r="D24" s="190" t="s">
        <v>188</v>
      </c>
      <c r="E24" s="190" t="s">
        <v>20</v>
      </c>
      <c r="F24" s="191"/>
      <c r="G24" s="191"/>
      <c r="H24" s="191"/>
      <c r="I24" s="191"/>
      <c r="J24" s="191"/>
      <c r="K24" s="191">
        <v>2</v>
      </c>
      <c r="L24" s="191"/>
      <c r="M24" s="192">
        <v>2</v>
      </c>
      <c r="N24" s="193" t="s">
        <v>7</v>
      </c>
      <c r="O24" s="90"/>
    </row>
    <row r="25" spans="1:17" ht="15.75" customHeight="1" thickBot="1" x14ac:dyDescent="0.25">
      <c r="A25" s="291" t="s">
        <v>185</v>
      </c>
      <c r="B25" s="257" t="s">
        <v>37</v>
      </c>
      <c r="C25" s="257" t="s">
        <v>36</v>
      </c>
      <c r="D25" s="257" t="s">
        <v>188</v>
      </c>
      <c r="E25" s="257" t="s">
        <v>20</v>
      </c>
      <c r="F25" s="259"/>
      <c r="G25" s="259"/>
      <c r="H25" s="259"/>
      <c r="I25" s="259"/>
      <c r="J25" s="259"/>
      <c r="K25" s="259">
        <v>1</v>
      </c>
      <c r="L25" s="259"/>
      <c r="M25" s="292">
        <v>2</v>
      </c>
      <c r="N25" s="261" t="s">
        <v>11</v>
      </c>
      <c r="O25" s="90"/>
    </row>
    <row r="26" spans="1:17" ht="15.75" customHeight="1" x14ac:dyDescent="0.2">
      <c r="A26" s="378" t="s">
        <v>46</v>
      </c>
      <c r="B26" s="379"/>
      <c r="C26" s="379"/>
      <c r="D26" s="373">
        <f>SUM(M8:M25)</f>
        <v>34</v>
      </c>
      <c r="E26" s="373"/>
      <c r="F26" s="373"/>
      <c r="G26" s="373"/>
      <c r="H26" s="373"/>
      <c r="I26" s="373"/>
      <c r="J26" s="373"/>
      <c r="K26" s="373"/>
      <c r="L26" s="373"/>
      <c r="M26" s="374"/>
      <c r="N26" s="7"/>
      <c r="O26" s="5"/>
    </row>
    <row r="27" spans="1:17" ht="13.5" customHeight="1" x14ac:dyDescent="0.2"/>
    <row r="28" spans="1:17" ht="15.75" hidden="1" customHeight="1" x14ac:dyDescent="0.2"/>
    <row r="29" spans="1:17" ht="15.75" hidden="1" customHeight="1" x14ac:dyDescent="0.2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90"/>
    </row>
    <row r="30" spans="1:17" ht="25.5" x14ac:dyDescent="0.2">
      <c r="A30" s="375" t="s">
        <v>463</v>
      </c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170" t="s">
        <v>472</v>
      </c>
      <c r="P30" s="62">
        <v>50</v>
      </c>
      <c r="Q30" s="62">
        <v>-2</v>
      </c>
    </row>
    <row r="31" spans="1:17" ht="15.75" customHeight="1" x14ac:dyDescent="0.2">
      <c r="A31" s="195" t="s">
        <v>52</v>
      </c>
      <c r="B31" s="196" t="s">
        <v>53</v>
      </c>
      <c r="C31" s="196" t="s">
        <v>54</v>
      </c>
      <c r="D31" s="196"/>
      <c r="E31" s="196"/>
      <c r="F31" s="197"/>
      <c r="G31" s="197">
        <v>2</v>
      </c>
      <c r="H31" s="197"/>
      <c r="I31" s="197"/>
      <c r="J31" s="197"/>
      <c r="K31" s="197"/>
      <c r="L31" s="197"/>
      <c r="M31" s="197">
        <v>3</v>
      </c>
      <c r="N31" s="198" t="s">
        <v>7</v>
      </c>
      <c r="O31" s="90"/>
    </row>
    <row r="32" spans="1:17" ht="15.75" customHeight="1" x14ac:dyDescent="0.2">
      <c r="A32" s="195" t="s">
        <v>195</v>
      </c>
      <c r="B32" s="196" t="s">
        <v>65</v>
      </c>
      <c r="C32" s="196" t="s">
        <v>66</v>
      </c>
      <c r="D32" s="196"/>
      <c r="E32" s="196"/>
      <c r="F32" s="197"/>
      <c r="G32" s="197">
        <v>1</v>
      </c>
      <c r="H32" s="197"/>
      <c r="I32" s="197"/>
      <c r="J32" s="197"/>
      <c r="K32" s="197"/>
      <c r="L32" s="197"/>
      <c r="M32" s="197">
        <v>2</v>
      </c>
      <c r="N32" s="198" t="s">
        <v>7</v>
      </c>
      <c r="O32" s="171" t="s">
        <v>474</v>
      </c>
    </row>
    <row r="33" spans="1:16" ht="12.75" x14ac:dyDescent="0.2">
      <c r="A33" s="195" t="s">
        <v>191</v>
      </c>
      <c r="B33" s="196" t="s">
        <v>55</v>
      </c>
      <c r="C33" s="196" t="s">
        <v>202</v>
      </c>
      <c r="D33" s="196"/>
      <c r="E33" s="196"/>
      <c r="F33" s="197"/>
      <c r="G33" s="197"/>
      <c r="H33" s="197">
        <v>2</v>
      </c>
      <c r="I33" s="197"/>
      <c r="J33" s="197"/>
      <c r="K33" s="197"/>
      <c r="L33" s="197"/>
      <c r="M33" s="197">
        <v>2</v>
      </c>
      <c r="N33" s="198" t="s">
        <v>7</v>
      </c>
      <c r="O33" s="90"/>
    </row>
    <row r="34" spans="1:16" ht="12.75" x14ac:dyDescent="0.2">
      <c r="A34" s="195" t="s">
        <v>192</v>
      </c>
      <c r="B34" s="196" t="s">
        <v>57</v>
      </c>
      <c r="C34" s="196" t="s">
        <v>202</v>
      </c>
      <c r="D34" s="196"/>
      <c r="E34" s="196"/>
      <c r="F34" s="197"/>
      <c r="G34" s="197"/>
      <c r="H34" s="197">
        <v>1</v>
      </c>
      <c r="I34" s="197"/>
      <c r="J34" s="197"/>
      <c r="K34" s="197"/>
      <c r="L34" s="197"/>
      <c r="M34" s="197">
        <v>2</v>
      </c>
      <c r="N34" s="198" t="s">
        <v>11</v>
      </c>
      <c r="O34" s="90"/>
    </row>
    <row r="35" spans="1:16" ht="15.75" customHeight="1" x14ac:dyDescent="0.2">
      <c r="A35" s="195" t="s">
        <v>274</v>
      </c>
      <c r="B35" s="196" t="s">
        <v>82</v>
      </c>
      <c r="C35" s="196" t="s">
        <v>83</v>
      </c>
      <c r="D35" s="196" t="s">
        <v>203</v>
      </c>
      <c r="E35" s="196" t="s">
        <v>84</v>
      </c>
      <c r="F35" s="197"/>
      <c r="G35" s="197"/>
      <c r="H35" s="197">
        <v>2</v>
      </c>
      <c r="I35" s="197"/>
      <c r="J35" s="197"/>
      <c r="K35" s="197"/>
      <c r="L35" s="197"/>
      <c r="M35" s="197">
        <v>2</v>
      </c>
      <c r="N35" s="198" t="s">
        <v>7</v>
      </c>
      <c r="O35" s="90"/>
    </row>
    <row r="36" spans="1:16" ht="15.75" customHeight="1" x14ac:dyDescent="0.2">
      <c r="A36" s="195" t="s">
        <v>273</v>
      </c>
      <c r="B36" s="196" t="s">
        <v>85</v>
      </c>
      <c r="C36" s="196" t="s">
        <v>83</v>
      </c>
      <c r="D36" s="196" t="s">
        <v>203</v>
      </c>
      <c r="E36" s="196" t="s">
        <v>84</v>
      </c>
      <c r="F36" s="197"/>
      <c r="G36" s="197"/>
      <c r="H36" s="197">
        <v>1</v>
      </c>
      <c r="I36" s="197"/>
      <c r="J36" s="197"/>
      <c r="K36" s="197"/>
      <c r="L36" s="197"/>
      <c r="M36" s="197">
        <v>2</v>
      </c>
      <c r="N36" s="198" t="s">
        <v>11</v>
      </c>
      <c r="O36" s="90"/>
    </row>
    <row r="37" spans="1:16" ht="15.75" customHeight="1" x14ac:dyDescent="0.2">
      <c r="A37" s="195" t="s">
        <v>193</v>
      </c>
      <c r="B37" s="196" t="s">
        <v>62</v>
      </c>
      <c r="C37" s="196" t="s">
        <v>63</v>
      </c>
      <c r="D37" s="196" t="s">
        <v>206</v>
      </c>
      <c r="E37" s="196" t="s">
        <v>20</v>
      </c>
      <c r="F37" s="197"/>
      <c r="G37" s="197"/>
      <c r="H37" s="197"/>
      <c r="I37" s="197">
        <v>2</v>
      </c>
      <c r="J37" s="197"/>
      <c r="K37" s="197"/>
      <c r="L37" s="197"/>
      <c r="M37" s="197">
        <v>2</v>
      </c>
      <c r="N37" s="198" t="s">
        <v>7</v>
      </c>
      <c r="O37" s="90"/>
    </row>
    <row r="38" spans="1:16" ht="15.75" customHeight="1" x14ac:dyDescent="0.2">
      <c r="A38" s="195" t="s">
        <v>194</v>
      </c>
      <c r="B38" s="196" t="s">
        <v>64</v>
      </c>
      <c r="C38" s="196" t="s">
        <v>63</v>
      </c>
      <c r="D38" s="293" t="s">
        <v>206</v>
      </c>
      <c r="E38" s="196" t="s">
        <v>20</v>
      </c>
      <c r="F38" s="197"/>
      <c r="G38" s="197"/>
      <c r="H38" s="197"/>
      <c r="I38" s="197">
        <v>1</v>
      </c>
      <c r="J38" s="197"/>
      <c r="K38" s="197"/>
      <c r="L38" s="197"/>
      <c r="M38" s="197">
        <v>2</v>
      </c>
      <c r="N38" s="198" t="s">
        <v>11</v>
      </c>
      <c r="O38" s="90"/>
    </row>
    <row r="39" spans="1:16" ht="15.75" customHeight="1" x14ac:dyDescent="0.2">
      <c r="A39" s="195" t="s">
        <v>197</v>
      </c>
      <c r="B39" s="196" t="s">
        <v>68</v>
      </c>
      <c r="C39" s="196" t="s">
        <v>69</v>
      </c>
      <c r="D39" s="196" t="s">
        <v>70</v>
      </c>
      <c r="E39" s="196" t="s">
        <v>20</v>
      </c>
      <c r="F39" s="197"/>
      <c r="G39" s="197"/>
      <c r="H39" s="197"/>
      <c r="I39" s="197">
        <v>2</v>
      </c>
      <c r="J39" s="197"/>
      <c r="K39" s="197"/>
      <c r="L39" s="197"/>
      <c r="M39" s="197">
        <v>2</v>
      </c>
      <c r="N39" s="198" t="s">
        <v>7</v>
      </c>
      <c r="O39" s="90"/>
    </row>
    <row r="40" spans="1:16" ht="15.75" customHeight="1" x14ac:dyDescent="0.2">
      <c r="A40" s="195" t="s">
        <v>198</v>
      </c>
      <c r="B40" s="196" t="s">
        <v>71</v>
      </c>
      <c r="C40" s="196" t="s">
        <v>69</v>
      </c>
      <c r="D40" s="196" t="s">
        <v>70</v>
      </c>
      <c r="E40" s="196" t="s">
        <v>20</v>
      </c>
      <c r="F40" s="197"/>
      <c r="G40" s="197"/>
      <c r="H40" s="197"/>
      <c r="I40" s="197">
        <v>1</v>
      </c>
      <c r="J40" s="197"/>
      <c r="K40" s="197"/>
      <c r="L40" s="197"/>
      <c r="M40" s="197">
        <v>2</v>
      </c>
      <c r="N40" s="198" t="s">
        <v>11</v>
      </c>
      <c r="O40" s="90"/>
    </row>
    <row r="41" spans="1:16" ht="15.75" customHeight="1" x14ac:dyDescent="0.2">
      <c r="A41" s="195" t="s">
        <v>201</v>
      </c>
      <c r="B41" s="196" t="s">
        <v>79</v>
      </c>
      <c r="C41" s="196" t="s">
        <v>80</v>
      </c>
      <c r="D41" s="196" t="s">
        <v>206</v>
      </c>
      <c r="E41" s="196" t="s">
        <v>20</v>
      </c>
      <c r="F41" s="197"/>
      <c r="G41" s="197"/>
      <c r="H41" s="197"/>
      <c r="I41" s="197">
        <v>2</v>
      </c>
      <c r="J41" s="197"/>
      <c r="K41" s="197"/>
      <c r="L41" s="197"/>
      <c r="M41" s="197">
        <v>2</v>
      </c>
      <c r="N41" s="198" t="s">
        <v>7</v>
      </c>
      <c r="O41" s="367" t="s">
        <v>473</v>
      </c>
      <c r="P41"/>
    </row>
    <row r="42" spans="1:16" ht="15.75" customHeight="1" x14ac:dyDescent="0.2">
      <c r="A42" s="195" t="s">
        <v>275</v>
      </c>
      <c r="B42" s="196" t="s">
        <v>81</v>
      </c>
      <c r="C42" s="196" t="s">
        <v>80</v>
      </c>
      <c r="D42" s="196" t="s">
        <v>206</v>
      </c>
      <c r="E42" s="196" t="s">
        <v>20</v>
      </c>
      <c r="F42" s="197"/>
      <c r="G42" s="197"/>
      <c r="H42" s="197"/>
      <c r="I42" s="197">
        <v>1</v>
      </c>
      <c r="J42" s="197"/>
      <c r="K42" s="197"/>
      <c r="L42" s="197"/>
      <c r="M42" s="197">
        <v>2</v>
      </c>
      <c r="N42" s="198" t="s">
        <v>11</v>
      </c>
      <c r="O42" s="367"/>
      <c r="P42"/>
    </row>
    <row r="43" spans="1:16" ht="15.75" customHeight="1" x14ac:dyDescent="0.2">
      <c r="A43" s="195" t="s">
        <v>199</v>
      </c>
      <c r="B43" s="196" t="s">
        <v>72</v>
      </c>
      <c r="C43" s="196" t="s">
        <v>73</v>
      </c>
      <c r="D43" s="293" t="s">
        <v>206</v>
      </c>
      <c r="E43" s="196" t="s">
        <v>20</v>
      </c>
      <c r="F43" s="197"/>
      <c r="G43" s="197"/>
      <c r="H43" s="197"/>
      <c r="I43" s="197"/>
      <c r="J43" s="197">
        <v>2</v>
      </c>
      <c r="K43" s="197"/>
      <c r="L43" s="197"/>
      <c r="M43" s="197">
        <v>2</v>
      </c>
      <c r="N43" s="198" t="s">
        <v>7</v>
      </c>
      <c r="O43"/>
      <c r="P43"/>
    </row>
    <row r="44" spans="1:16" ht="15.75" customHeight="1" x14ac:dyDescent="0.2">
      <c r="A44" s="195" t="s">
        <v>200</v>
      </c>
      <c r="B44" s="196" t="s">
        <v>72</v>
      </c>
      <c r="C44" s="196" t="s">
        <v>73</v>
      </c>
      <c r="D44" s="293" t="s">
        <v>206</v>
      </c>
      <c r="E44" s="196" t="s">
        <v>20</v>
      </c>
      <c r="F44" s="197"/>
      <c r="G44" s="197"/>
      <c r="H44" s="197"/>
      <c r="I44" s="197"/>
      <c r="J44" s="197">
        <v>1</v>
      </c>
      <c r="K44" s="197"/>
      <c r="L44" s="197"/>
      <c r="M44" s="197">
        <v>2</v>
      </c>
      <c r="N44" s="198" t="s">
        <v>11</v>
      </c>
      <c r="O44"/>
      <c r="P44"/>
    </row>
    <row r="45" spans="1:16" ht="15.75" customHeight="1" x14ac:dyDescent="0.2">
      <c r="A45" s="195" t="s">
        <v>272</v>
      </c>
      <c r="B45" s="196" t="s">
        <v>86</v>
      </c>
      <c r="C45" s="196" t="s">
        <v>87</v>
      </c>
      <c r="D45" s="196" t="s">
        <v>419</v>
      </c>
      <c r="E45" s="314" t="s">
        <v>420</v>
      </c>
      <c r="F45" s="197"/>
      <c r="G45" s="197"/>
      <c r="H45" s="197"/>
      <c r="I45" s="197"/>
      <c r="J45" s="197">
        <v>2</v>
      </c>
      <c r="K45" s="197"/>
      <c r="L45" s="197"/>
      <c r="M45" s="197">
        <v>2</v>
      </c>
      <c r="N45" s="198" t="s">
        <v>7</v>
      </c>
      <c r="O45" s="90"/>
    </row>
    <row r="46" spans="1:16" ht="15.75" customHeight="1" x14ac:dyDescent="0.2">
      <c r="A46" s="195" t="s">
        <v>271</v>
      </c>
      <c r="B46" s="196" t="s">
        <v>88</v>
      </c>
      <c r="C46" s="196" t="s">
        <v>87</v>
      </c>
      <c r="D46" s="196" t="s">
        <v>419</v>
      </c>
      <c r="E46" s="314" t="s">
        <v>421</v>
      </c>
      <c r="F46" s="197"/>
      <c r="G46" s="197"/>
      <c r="H46" s="197"/>
      <c r="I46" s="197"/>
      <c r="J46" s="197">
        <v>1</v>
      </c>
      <c r="K46" s="197"/>
      <c r="L46" s="197"/>
      <c r="M46" s="197">
        <v>2</v>
      </c>
      <c r="N46" s="198" t="s">
        <v>11</v>
      </c>
      <c r="O46" s="90"/>
    </row>
    <row r="47" spans="1:16" ht="12.75" x14ac:dyDescent="0.2">
      <c r="A47" s="195" t="s">
        <v>74</v>
      </c>
      <c r="B47" s="196" t="s">
        <v>75</v>
      </c>
      <c r="C47" s="196" t="s">
        <v>76</v>
      </c>
      <c r="D47" s="196" t="s">
        <v>205</v>
      </c>
      <c r="E47" s="196" t="s">
        <v>20</v>
      </c>
      <c r="F47" s="197"/>
      <c r="G47" s="197"/>
      <c r="H47" s="197"/>
      <c r="I47" s="197"/>
      <c r="J47" s="197"/>
      <c r="K47" s="197"/>
      <c r="L47" s="197">
        <v>2</v>
      </c>
      <c r="M47" s="197">
        <v>2</v>
      </c>
      <c r="N47" s="198" t="s">
        <v>7</v>
      </c>
    </row>
    <row r="48" spans="1:16" ht="13.5" thickBot="1" x14ac:dyDescent="0.25">
      <c r="A48" s="315" t="s">
        <v>77</v>
      </c>
      <c r="B48" s="316" t="s">
        <v>78</v>
      </c>
      <c r="C48" s="316" t="s">
        <v>76</v>
      </c>
      <c r="D48" s="316" t="s">
        <v>205</v>
      </c>
      <c r="E48" s="316" t="s">
        <v>20</v>
      </c>
      <c r="F48" s="317"/>
      <c r="G48" s="317"/>
      <c r="H48" s="317"/>
      <c r="I48" s="317"/>
      <c r="J48" s="317"/>
      <c r="K48" s="317"/>
      <c r="L48" s="317">
        <v>1</v>
      </c>
      <c r="M48" s="317">
        <v>1</v>
      </c>
      <c r="N48" s="318" t="s">
        <v>11</v>
      </c>
    </row>
    <row r="49" spans="1:19" ht="15.75" customHeight="1" x14ac:dyDescent="0.2">
      <c r="A49" s="378" t="s">
        <v>89</v>
      </c>
      <c r="B49" s="379"/>
      <c r="C49" s="380"/>
      <c r="D49" s="380"/>
      <c r="E49" s="380"/>
      <c r="F49" s="373">
        <f>SUM(M31:M48)</f>
        <v>36</v>
      </c>
      <c r="G49" s="373"/>
      <c r="H49" s="373"/>
      <c r="I49" s="373"/>
      <c r="J49" s="373"/>
      <c r="K49" s="373"/>
      <c r="L49" s="373"/>
      <c r="M49" s="374"/>
      <c r="N49" s="7"/>
      <c r="O49" s="90"/>
      <c r="P49" s="231"/>
    </row>
    <row r="50" spans="1:19" ht="15.75" customHeight="1" x14ac:dyDescent="0.2">
      <c r="O50" s="90"/>
      <c r="S50" s="229" t="s">
        <v>480</v>
      </c>
    </row>
    <row r="51" spans="1:19" ht="0.75" customHeight="1" x14ac:dyDescent="0.2">
      <c r="O51" s="90"/>
      <c r="S51" s="229" t="s">
        <v>481</v>
      </c>
    </row>
    <row r="52" spans="1:19" ht="15.75" hidden="1" customHeight="1" x14ac:dyDescent="0.2">
      <c r="A52" s="168"/>
      <c r="B52" s="168"/>
      <c r="C52" s="177"/>
      <c r="D52" s="177"/>
      <c r="E52" s="177"/>
      <c r="F52" s="169"/>
      <c r="G52" s="169"/>
      <c r="H52" s="169"/>
      <c r="I52" s="169"/>
      <c r="J52" s="169"/>
      <c r="K52" s="169"/>
      <c r="L52" s="169"/>
      <c r="M52" s="169"/>
      <c r="N52" s="7"/>
      <c r="O52" s="90"/>
      <c r="S52" s="229" t="s">
        <v>482</v>
      </c>
    </row>
    <row r="53" spans="1:19" ht="15.75" customHeight="1" thickBot="1" x14ac:dyDescent="0.25">
      <c r="A53" s="382" t="s">
        <v>462</v>
      </c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2"/>
      <c r="O53"/>
      <c r="S53" s="229" t="s">
        <v>483</v>
      </c>
    </row>
    <row r="54" spans="1:19" ht="15.75" customHeight="1" x14ac:dyDescent="0.2">
      <c r="A54" s="203" t="s">
        <v>47</v>
      </c>
      <c r="B54" s="204" t="s">
        <v>48</v>
      </c>
      <c r="C54" s="204" t="s">
        <v>49</v>
      </c>
      <c r="D54" s="204"/>
      <c r="E54" s="204"/>
      <c r="F54" s="205"/>
      <c r="G54" s="205">
        <v>4</v>
      </c>
      <c r="H54" s="205"/>
      <c r="I54" s="205"/>
      <c r="J54" s="205"/>
      <c r="K54" s="205"/>
      <c r="L54" s="205"/>
      <c r="M54" s="205">
        <v>4</v>
      </c>
      <c r="N54" s="206" t="s">
        <v>7</v>
      </c>
      <c r="O54"/>
      <c r="S54" s="229" t="s">
        <v>484</v>
      </c>
    </row>
    <row r="55" spans="1:19" ht="15.75" customHeight="1" x14ac:dyDescent="0.2">
      <c r="A55" s="195" t="s">
        <v>50</v>
      </c>
      <c r="B55" s="196" t="s">
        <v>51</v>
      </c>
      <c r="C55" s="196" t="s">
        <v>49</v>
      </c>
      <c r="D55" s="196"/>
      <c r="E55" s="196"/>
      <c r="F55" s="197"/>
      <c r="G55" s="197">
        <v>3</v>
      </c>
      <c r="H55" s="197"/>
      <c r="I55" s="197"/>
      <c r="J55" s="197"/>
      <c r="K55" s="197"/>
      <c r="L55" s="197"/>
      <c r="M55" s="197">
        <v>4</v>
      </c>
      <c r="N55" s="198" t="s">
        <v>11</v>
      </c>
      <c r="O55"/>
    </row>
    <row r="56" spans="1:19" ht="12.75" x14ac:dyDescent="0.2">
      <c r="A56" s="195" t="s">
        <v>290</v>
      </c>
      <c r="B56" s="196" t="s">
        <v>58</v>
      </c>
      <c r="C56" s="196" t="s">
        <v>59</v>
      </c>
      <c r="D56" s="196" t="s">
        <v>50</v>
      </c>
      <c r="E56" s="196" t="s">
        <v>20</v>
      </c>
      <c r="F56" s="197"/>
      <c r="G56" s="197"/>
      <c r="H56" s="197">
        <v>3</v>
      </c>
      <c r="I56" s="197"/>
      <c r="J56" s="197"/>
      <c r="K56" s="197"/>
      <c r="L56" s="197"/>
      <c r="M56" s="197">
        <v>3</v>
      </c>
      <c r="N56" s="198" t="s">
        <v>7</v>
      </c>
      <c r="O56"/>
    </row>
    <row r="57" spans="1:19" ht="18.75" customHeight="1" x14ac:dyDescent="0.2">
      <c r="A57" s="195" t="s">
        <v>204</v>
      </c>
      <c r="B57" s="196" t="s">
        <v>61</v>
      </c>
      <c r="C57" s="196" t="s">
        <v>59</v>
      </c>
      <c r="D57" s="196" t="s">
        <v>50</v>
      </c>
      <c r="E57" s="196" t="s">
        <v>20</v>
      </c>
      <c r="F57" s="197"/>
      <c r="G57" s="197"/>
      <c r="H57" s="197">
        <v>2</v>
      </c>
      <c r="I57" s="197"/>
      <c r="J57" s="197"/>
      <c r="K57" s="197"/>
      <c r="L57" s="197"/>
      <c r="M57" s="197">
        <v>3</v>
      </c>
      <c r="N57" s="198" t="s">
        <v>11</v>
      </c>
      <c r="O57"/>
    </row>
    <row r="58" spans="1:19" ht="15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9" ht="15.75" hidden="1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9" ht="15.75" hidden="1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9" ht="15.75" hidden="1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9" ht="15.75" hidden="1" customHeigh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9" ht="0.75" customHeigh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9" ht="15.75" hidden="1" customHeight="1" x14ac:dyDescent="0.2">
      <c r="A64" s="168"/>
      <c r="B64" s="168"/>
      <c r="C64" s="177"/>
      <c r="D64" s="177"/>
      <c r="E64" s="177"/>
      <c r="F64" s="169"/>
      <c r="G64" s="169"/>
      <c r="H64" s="169"/>
      <c r="I64" s="169"/>
      <c r="J64" s="169"/>
      <c r="K64" s="169"/>
      <c r="L64" s="169"/>
      <c r="M64" s="169"/>
      <c r="N64" s="7"/>
      <c r="O64" s="90"/>
    </row>
    <row r="65" spans="1:19" ht="25.5" x14ac:dyDescent="0.2">
      <c r="A65" s="376" t="s">
        <v>461</v>
      </c>
      <c r="B65" s="376"/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170" t="s">
        <v>476</v>
      </c>
      <c r="P65" s="62">
        <f>52+14</f>
        <v>66</v>
      </c>
      <c r="Q65" s="62">
        <f>12+2</f>
        <v>14</v>
      </c>
    </row>
    <row r="66" spans="1:19" ht="15.75" customHeight="1" x14ac:dyDescent="0.2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90"/>
    </row>
    <row r="67" spans="1:19" ht="26.25" thickBot="1" x14ac:dyDescent="0.25">
      <c r="A67" s="381" t="s">
        <v>460</v>
      </c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170" t="s">
        <v>477</v>
      </c>
      <c r="R67" s="62">
        <v>26</v>
      </c>
      <c r="S67" s="62">
        <v>12</v>
      </c>
    </row>
    <row r="68" spans="1:19" ht="15.75" customHeight="1" x14ac:dyDescent="0.2">
      <c r="A68" s="184" t="s">
        <v>90</v>
      </c>
      <c r="B68" s="185" t="s">
        <v>91</v>
      </c>
      <c r="C68" s="185" t="s">
        <v>10</v>
      </c>
      <c r="D68" s="185" t="s">
        <v>40</v>
      </c>
      <c r="E68" s="185" t="s">
        <v>20</v>
      </c>
      <c r="F68" s="186"/>
      <c r="G68" s="186"/>
      <c r="H68" s="186">
        <v>2</v>
      </c>
      <c r="I68" s="186"/>
      <c r="J68" s="186"/>
      <c r="K68" s="186"/>
      <c r="L68" s="186"/>
      <c r="M68" s="207">
        <v>2</v>
      </c>
      <c r="N68" s="188" t="s">
        <v>7</v>
      </c>
      <c r="O68" s="304" t="s">
        <v>485</v>
      </c>
    </row>
    <row r="69" spans="1:19" ht="15.75" customHeight="1" x14ac:dyDescent="0.2">
      <c r="A69" s="194" t="s">
        <v>92</v>
      </c>
      <c r="B69" s="190" t="s">
        <v>93</v>
      </c>
      <c r="C69" s="190" t="s">
        <v>10</v>
      </c>
      <c r="D69" s="190" t="s">
        <v>40</v>
      </c>
      <c r="E69" s="190" t="s">
        <v>20</v>
      </c>
      <c r="F69" s="191"/>
      <c r="G69" s="191"/>
      <c r="H69" s="191">
        <v>2</v>
      </c>
      <c r="I69" s="191"/>
      <c r="J69" s="191"/>
      <c r="K69" s="191"/>
      <c r="L69" s="191"/>
      <c r="M69" s="208">
        <v>3</v>
      </c>
      <c r="N69" s="193" t="s">
        <v>11</v>
      </c>
      <c r="O69" s="90"/>
    </row>
    <row r="70" spans="1:19" ht="15.75" customHeight="1" x14ac:dyDescent="0.2">
      <c r="A70" s="14" t="s">
        <v>213</v>
      </c>
      <c r="B70" s="18" t="s">
        <v>112</v>
      </c>
      <c r="C70" s="18" t="s">
        <v>113</v>
      </c>
      <c r="D70" s="18"/>
      <c r="E70" s="18"/>
      <c r="F70" s="57"/>
      <c r="G70" s="57"/>
      <c r="H70" s="57">
        <v>2</v>
      </c>
      <c r="I70" s="57"/>
      <c r="J70" s="57"/>
      <c r="K70" s="57"/>
      <c r="L70" s="57"/>
      <c r="M70" s="85">
        <v>2</v>
      </c>
      <c r="N70" s="58" t="s">
        <v>7</v>
      </c>
      <c r="O70" s="90"/>
    </row>
    <row r="71" spans="1:19" ht="15.75" customHeight="1" x14ac:dyDescent="0.2">
      <c r="A71" s="14" t="s">
        <v>214</v>
      </c>
      <c r="B71" s="18" t="s">
        <v>114</v>
      </c>
      <c r="C71" s="18" t="s">
        <v>113</v>
      </c>
      <c r="D71" s="18"/>
      <c r="E71" s="18"/>
      <c r="F71" s="57"/>
      <c r="G71" s="57"/>
      <c r="H71" s="57">
        <v>1</v>
      </c>
      <c r="I71" s="57"/>
      <c r="J71" s="57"/>
      <c r="K71" s="57"/>
      <c r="L71" s="57"/>
      <c r="M71" s="85">
        <v>2</v>
      </c>
      <c r="N71" s="58" t="s">
        <v>11</v>
      </c>
      <c r="O71" s="90"/>
    </row>
    <row r="72" spans="1:19" ht="14.25" customHeight="1" x14ac:dyDescent="0.2">
      <c r="A72" s="14" t="s">
        <v>216</v>
      </c>
      <c r="B72" s="18" t="s">
        <v>116</v>
      </c>
      <c r="C72" s="18" t="s">
        <v>117</v>
      </c>
      <c r="D72" s="18"/>
      <c r="E72" s="18"/>
      <c r="F72" s="57"/>
      <c r="G72" s="57"/>
      <c r="H72" s="57">
        <v>2</v>
      </c>
      <c r="I72" s="57"/>
      <c r="J72" s="57"/>
      <c r="K72" s="57"/>
      <c r="L72" s="57"/>
      <c r="M72" s="85">
        <v>3</v>
      </c>
      <c r="N72" s="58" t="s">
        <v>7</v>
      </c>
      <c r="O72" s="90"/>
    </row>
    <row r="73" spans="1:19" ht="15.75" customHeight="1" x14ac:dyDescent="0.2">
      <c r="A73" s="14" t="s">
        <v>270</v>
      </c>
      <c r="B73" s="19" t="s">
        <v>118</v>
      </c>
      <c r="C73" s="19" t="s">
        <v>39</v>
      </c>
      <c r="D73" s="19" t="s">
        <v>217</v>
      </c>
      <c r="E73" s="18" t="s">
        <v>20</v>
      </c>
      <c r="F73" s="85"/>
      <c r="G73" s="86"/>
      <c r="H73" s="85">
        <v>2</v>
      </c>
      <c r="I73" s="86"/>
      <c r="J73" s="86"/>
      <c r="K73" s="86"/>
      <c r="L73" s="86"/>
      <c r="M73" s="85">
        <v>3</v>
      </c>
      <c r="N73" s="87" t="s">
        <v>7</v>
      </c>
      <c r="O73" s="90"/>
    </row>
    <row r="74" spans="1:19" ht="15.75" customHeight="1" x14ac:dyDescent="0.2">
      <c r="A74" s="227" t="s">
        <v>94</v>
      </c>
      <c r="B74" s="225" t="s">
        <v>95</v>
      </c>
      <c r="C74" s="225" t="s">
        <v>96</v>
      </c>
      <c r="D74" s="225" t="s">
        <v>97</v>
      </c>
      <c r="E74" s="225" t="s">
        <v>20</v>
      </c>
      <c r="F74" s="226"/>
      <c r="G74" s="226"/>
      <c r="H74" s="226"/>
      <c r="I74" s="226">
        <v>2</v>
      </c>
      <c r="J74" s="226"/>
      <c r="K74" s="226"/>
      <c r="L74" s="226"/>
      <c r="M74" s="245">
        <v>2</v>
      </c>
      <c r="N74" s="220" t="s">
        <v>7</v>
      </c>
      <c r="O74" s="90"/>
    </row>
    <row r="75" spans="1:19" ht="15.75" customHeight="1" x14ac:dyDescent="0.2">
      <c r="A75" s="227" t="s">
        <v>98</v>
      </c>
      <c r="B75" s="225" t="s">
        <v>99</v>
      </c>
      <c r="C75" s="225" t="s">
        <v>96</v>
      </c>
      <c r="D75" s="225" t="s">
        <v>97</v>
      </c>
      <c r="E75" s="225" t="s">
        <v>20</v>
      </c>
      <c r="F75" s="226"/>
      <c r="G75" s="226"/>
      <c r="H75" s="226"/>
      <c r="I75" s="226">
        <v>2</v>
      </c>
      <c r="J75" s="226"/>
      <c r="K75" s="226"/>
      <c r="L75" s="226"/>
      <c r="M75" s="245">
        <v>3</v>
      </c>
      <c r="N75" s="220" t="s">
        <v>11</v>
      </c>
      <c r="O75" s="90"/>
    </row>
    <row r="76" spans="1:19" ht="15.75" customHeight="1" x14ac:dyDescent="0.2">
      <c r="A76" s="14" t="s">
        <v>100</v>
      </c>
      <c r="B76" s="6" t="s">
        <v>101</v>
      </c>
      <c r="C76" s="6" t="s">
        <v>102</v>
      </c>
      <c r="D76" s="6" t="s">
        <v>103</v>
      </c>
      <c r="E76" s="6" t="s">
        <v>20</v>
      </c>
      <c r="F76" s="70"/>
      <c r="G76" s="70"/>
      <c r="H76" s="70"/>
      <c r="I76" s="70">
        <v>2</v>
      </c>
      <c r="J76" s="70"/>
      <c r="K76" s="70"/>
      <c r="L76" s="70"/>
      <c r="M76" s="84">
        <v>2</v>
      </c>
      <c r="N76" s="72" t="s">
        <v>7</v>
      </c>
      <c r="O76" s="90"/>
    </row>
    <row r="77" spans="1:19" ht="15.75" customHeight="1" x14ac:dyDescent="0.2">
      <c r="A77" s="14" t="s">
        <v>104</v>
      </c>
      <c r="B77" s="18" t="s">
        <v>105</v>
      </c>
      <c r="C77" s="18" t="s">
        <v>102</v>
      </c>
      <c r="D77" s="18" t="s">
        <v>103</v>
      </c>
      <c r="E77" s="18" t="s">
        <v>20</v>
      </c>
      <c r="F77" s="57"/>
      <c r="G77" s="57"/>
      <c r="H77" s="57"/>
      <c r="I77" s="57">
        <v>2</v>
      </c>
      <c r="J77" s="57"/>
      <c r="K77" s="57"/>
      <c r="L77" s="57"/>
      <c r="M77" s="85">
        <v>3</v>
      </c>
      <c r="N77" s="58" t="s">
        <v>11</v>
      </c>
      <c r="O77" s="90"/>
    </row>
    <row r="78" spans="1:19" s="88" customFormat="1" ht="15.75" customHeight="1" x14ac:dyDescent="0.2">
      <c r="A78" s="14" t="s">
        <v>393</v>
      </c>
      <c r="B78" s="18" t="s">
        <v>349</v>
      </c>
      <c r="C78" s="18" t="s">
        <v>159</v>
      </c>
      <c r="D78" s="18" t="s">
        <v>183</v>
      </c>
      <c r="E78" s="18" t="s">
        <v>84</v>
      </c>
      <c r="F78" s="57"/>
      <c r="G78" s="57"/>
      <c r="H78" s="57"/>
      <c r="I78" s="57">
        <v>2</v>
      </c>
      <c r="J78" s="57"/>
      <c r="K78" s="57"/>
      <c r="L78" s="57"/>
      <c r="M78" s="85">
        <v>2</v>
      </c>
      <c r="N78" s="58" t="s">
        <v>11</v>
      </c>
      <c r="O78" s="90"/>
      <c r="P78" s="62"/>
      <c r="Q78" s="62"/>
      <c r="R78" s="62"/>
      <c r="S78" s="62"/>
    </row>
    <row r="79" spans="1:19" ht="15.75" customHeight="1" x14ac:dyDescent="0.2">
      <c r="A79" s="194" t="s">
        <v>207</v>
      </c>
      <c r="B79" s="201" t="s">
        <v>106</v>
      </c>
      <c r="C79" s="190" t="s">
        <v>361</v>
      </c>
      <c r="D79" s="201" t="s">
        <v>209</v>
      </c>
      <c r="E79" s="201" t="s">
        <v>20</v>
      </c>
      <c r="F79" s="209"/>
      <c r="G79" s="209"/>
      <c r="H79" s="209"/>
      <c r="I79" s="209"/>
      <c r="J79" s="209">
        <v>2</v>
      </c>
      <c r="K79" s="209"/>
      <c r="L79" s="209"/>
      <c r="M79" s="210">
        <v>2</v>
      </c>
      <c r="N79" s="211" t="s">
        <v>7</v>
      </c>
    </row>
    <row r="80" spans="1:19" ht="15.75" customHeight="1" x14ac:dyDescent="0.2">
      <c r="A80" s="194" t="s">
        <v>208</v>
      </c>
      <c r="B80" s="201" t="s">
        <v>108</v>
      </c>
      <c r="C80" s="190" t="s">
        <v>361</v>
      </c>
      <c r="D80" s="201" t="s">
        <v>209</v>
      </c>
      <c r="E80" s="201" t="s">
        <v>20</v>
      </c>
      <c r="F80" s="209"/>
      <c r="G80" s="209"/>
      <c r="H80" s="209"/>
      <c r="I80" s="209"/>
      <c r="J80" s="209">
        <v>1</v>
      </c>
      <c r="K80" s="209"/>
      <c r="L80" s="209"/>
      <c r="M80" s="210">
        <v>2</v>
      </c>
      <c r="N80" s="211" t="s">
        <v>11</v>
      </c>
    </row>
    <row r="81" spans="1:19" ht="15.75" customHeight="1" x14ac:dyDescent="0.2">
      <c r="A81" s="194" t="s">
        <v>211</v>
      </c>
      <c r="B81" s="201" t="s">
        <v>109</v>
      </c>
      <c r="C81" s="212" t="s">
        <v>39</v>
      </c>
      <c r="D81" s="201" t="s">
        <v>210</v>
      </c>
      <c r="E81" s="201" t="s">
        <v>20</v>
      </c>
      <c r="F81" s="209"/>
      <c r="G81" s="209"/>
      <c r="H81" s="209"/>
      <c r="I81" s="209"/>
      <c r="J81" s="209">
        <v>2</v>
      </c>
      <c r="K81" s="209"/>
      <c r="L81" s="209"/>
      <c r="M81" s="210">
        <v>2</v>
      </c>
      <c r="N81" s="211" t="s">
        <v>7</v>
      </c>
      <c r="O81" s="90"/>
    </row>
    <row r="82" spans="1:19" ht="15.75" customHeight="1" x14ac:dyDescent="0.2">
      <c r="A82" s="189" t="s">
        <v>212</v>
      </c>
      <c r="B82" s="201" t="s">
        <v>111</v>
      </c>
      <c r="C82" s="212" t="s">
        <v>39</v>
      </c>
      <c r="D82" s="201" t="s">
        <v>210</v>
      </c>
      <c r="E82" s="201" t="s">
        <v>20</v>
      </c>
      <c r="F82" s="209"/>
      <c r="G82" s="209"/>
      <c r="H82" s="209"/>
      <c r="I82" s="209"/>
      <c r="J82" s="209">
        <v>1</v>
      </c>
      <c r="K82" s="209"/>
      <c r="L82" s="209"/>
      <c r="M82" s="210">
        <v>2</v>
      </c>
      <c r="N82" s="211" t="s">
        <v>11</v>
      </c>
      <c r="O82" s="90"/>
    </row>
    <row r="83" spans="1:19" ht="15.95" customHeight="1" x14ac:dyDescent="0.2">
      <c r="A83" s="14" t="s">
        <v>215</v>
      </c>
      <c r="B83" s="18" t="s">
        <v>115</v>
      </c>
      <c r="C83" s="18" t="s">
        <v>42</v>
      </c>
      <c r="D83" s="18"/>
      <c r="E83" s="18"/>
      <c r="F83" s="57"/>
      <c r="G83" s="57"/>
      <c r="H83" s="57"/>
      <c r="I83" s="57"/>
      <c r="J83" s="57">
        <v>2</v>
      </c>
      <c r="K83" s="57"/>
      <c r="L83" s="57"/>
      <c r="M83" s="85">
        <v>3</v>
      </c>
      <c r="N83" s="58" t="s">
        <v>7</v>
      </c>
      <c r="O83" s="90"/>
    </row>
    <row r="84" spans="1:19" s="88" customFormat="1" ht="15.75" customHeight="1" x14ac:dyDescent="0.2">
      <c r="A84" s="15" t="s">
        <v>344</v>
      </c>
      <c r="B84" s="6" t="s">
        <v>346</v>
      </c>
      <c r="C84" s="6" t="s">
        <v>342</v>
      </c>
      <c r="D84" s="6"/>
      <c r="E84" s="6"/>
      <c r="F84" s="70"/>
      <c r="G84" s="70"/>
      <c r="H84" s="73"/>
      <c r="I84" s="70"/>
      <c r="J84" s="70">
        <v>1</v>
      </c>
      <c r="K84" s="70"/>
      <c r="L84" s="70"/>
      <c r="M84" s="71">
        <v>2</v>
      </c>
      <c r="N84" s="72" t="s">
        <v>7</v>
      </c>
      <c r="O84" s="90"/>
      <c r="P84" s="62"/>
      <c r="Q84" s="62"/>
      <c r="R84" s="62"/>
      <c r="S84" s="62"/>
    </row>
    <row r="85" spans="1:19" s="88" customFormat="1" ht="15.75" customHeight="1" x14ac:dyDescent="0.2">
      <c r="A85" s="15" t="s">
        <v>345</v>
      </c>
      <c r="B85" s="9" t="s">
        <v>347</v>
      </c>
      <c r="C85" s="6" t="s">
        <v>342</v>
      </c>
      <c r="D85" s="6"/>
      <c r="E85" s="6"/>
      <c r="F85" s="70"/>
      <c r="G85" s="70"/>
      <c r="H85" s="70"/>
      <c r="I85" s="70"/>
      <c r="J85" s="70">
        <v>2</v>
      </c>
      <c r="K85" s="70"/>
      <c r="L85" s="70"/>
      <c r="M85" s="71">
        <v>2</v>
      </c>
      <c r="N85" s="72" t="s">
        <v>11</v>
      </c>
      <c r="O85" s="90"/>
      <c r="P85" s="62"/>
      <c r="Q85" s="62"/>
      <c r="R85" s="62"/>
      <c r="S85" s="62"/>
    </row>
    <row r="86" spans="1:19" s="88" customFormat="1" ht="15.75" customHeight="1" x14ac:dyDescent="0.2">
      <c r="A86" s="352" t="s">
        <v>338</v>
      </c>
      <c r="B86" s="353" t="s">
        <v>339</v>
      </c>
      <c r="C86" s="353" t="s">
        <v>341</v>
      </c>
      <c r="D86" s="353"/>
      <c r="E86" s="353"/>
      <c r="F86" s="354"/>
      <c r="G86" s="354"/>
      <c r="H86" s="354"/>
      <c r="I86" s="354"/>
      <c r="J86" s="354"/>
      <c r="K86" s="354">
        <v>1</v>
      </c>
      <c r="L86" s="354"/>
      <c r="M86" s="360">
        <v>2</v>
      </c>
      <c r="N86" s="426" t="s">
        <v>7</v>
      </c>
      <c r="O86" s="90"/>
      <c r="P86" s="62"/>
      <c r="Q86" s="62"/>
      <c r="R86" s="62"/>
      <c r="S86" s="62"/>
    </row>
    <row r="87" spans="1:19" s="88" customFormat="1" ht="15.75" customHeight="1" x14ac:dyDescent="0.2">
      <c r="A87" s="352" t="s">
        <v>338</v>
      </c>
      <c r="B87" s="353" t="s">
        <v>339</v>
      </c>
      <c r="C87" s="353" t="s">
        <v>341</v>
      </c>
      <c r="D87" s="353"/>
      <c r="E87" s="353"/>
      <c r="F87" s="354"/>
      <c r="G87" s="354"/>
      <c r="H87" s="354"/>
      <c r="I87" s="354"/>
      <c r="J87" s="354"/>
      <c r="K87" s="354">
        <v>1</v>
      </c>
      <c r="L87" s="354"/>
      <c r="M87" s="360">
        <v>2</v>
      </c>
      <c r="N87" s="426" t="s">
        <v>7</v>
      </c>
      <c r="O87" s="90"/>
      <c r="P87" s="62"/>
      <c r="Q87" s="62"/>
      <c r="R87" s="62"/>
      <c r="S87" s="62"/>
    </row>
    <row r="88" spans="1:19" ht="12.75" x14ac:dyDescent="0.2">
      <c r="A88" s="200" t="s">
        <v>186</v>
      </c>
      <c r="B88" s="201" t="s">
        <v>0</v>
      </c>
      <c r="C88" s="201" t="s">
        <v>42</v>
      </c>
      <c r="D88" s="201" t="s">
        <v>40</v>
      </c>
      <c r="E88" s="201" t="s">
        <v>20</v>
      </c>
      <c r="F88" s="209"/>
      <c r="G88" s="209"/>
      <c r="H88" s="209">
        <v>2</v>
      </c>
      <c r="I88" s="209"/>
      <c r="J88" s="209"/>
      <c r="K88" s="209"/>
      <c r="L88" s="209"/>
      <c r="M88" s="213">
        <v>2</v>
      </c>
      <c r="N88" s="211" t="s">
        <v>7</v>
      </c>
      <c r="O88" s="364" t="s">
        <v>478</v>
      </c>
    </row>
    <row r="89" spans="1:19" ht="12.75" x14ac:dyDescent="0.2">
      <c r="A89" s="200" t="s">
        <v>187</v>
      </c>
      <c r="B89" s="201" t="s">
        <v>43</v>
      </c>
      <c r="C89" s="201" t="s">
        <v>42</v>
      </c>
      <c r="D89" s="201" t="s">
        <v>40</v>
      </c>
      <c r="E89" s="201" t="s">
        <v>20</v>
      </c>
      <c r="F89" s="209"/>
      <c r="G89" s="209"/>
      <c r="H89" s="209">
        <v>1</v>
      </c>
      <c r="I89" s="209"/>
      <c r="J89" s="209"/>
      <c r="K89" s="209"/>
      <c r="L89" s="209"/>
      <c r="M89" s="213">
        <v>2</v>
      </c>
      <c r="N89" s="211" t="s">
        <v>11</v>
      </c>
      <c r="O89" s="364"/>
    </row>
    <row r="90" spans="1:19" s="88" customFormat="1" ht="15.75" customHeight="1" thickBot="1" x14ac:dyDescent="0.25">
      <c r="A90" s="16" t="s">
        <v>416</v>
      </c>
      <c r="B90" s="21" t="s">
        <v>417</v>
      </c>
      <c r="C90" s="29" t="s">
        <v>117</v>
      </c>
      <c r="D90" s="29" t="s">
        <v>418</v>
      </c>
      <c r="E90" s="29"/>
      <c r="F90" s="74">
        <v>2</v>
      </c>
      <c r="G90" s="74"/>
      <c r="H90" s="74"/>
      <c r="I90" s="74"/>
      <c r="J90" s="74"/>
      <c r="K90" s="75"/>
      <c r="L90" s="74"/>
      <c r="M90" s="76">
        <v>2</v>
      </c>
      <c r="N90" s="77" t="s">
        <v>7</v>
      </c>
      <c r="O90" s="90"/>
      <c r="P90" s="62"/>
      <c r="Q90" s="62"/>
      <c r="R90" s="62"/>
      <c r="S90" s="62"/>
    </row>
    <row r="91" spans="1:19" ht="15.75" customHeight="1" x14ac:dyDescent="0.2">
      <c r="A91" s="369" t="s">
        <v>89</v>
      </c>
      <c r="B91" s="370"/>
      <c r="C91" s="370"/>
      <c r="D91" s="370"/>
      <c r="E91" s="371">
        <f>SUM(M68:M90)</f>
        <v>52</v>
      </c>
      <c r="F91" s="371"/>
      <c r="G91" s="371"/>
      <c r="H91" s="371"/>
      <c r="I91" s="371"/>
      <c r="J91" s="371"/>
      <c r="K91" s="371"/>
      <c r="L91" s="371"/>
      <c r="M91" s="372"/>
      <c r="N91" s="7">
        <f>M97+M96+M95+M94+M89+M88+M82+M81+M80+M79+M69+M68</f>
        <v>25</v>
      </c>
      <c r="O91" s="90"/>
    </row>
    <row r="92" spans="1:19" ht="15.75" customHeight="1" x14ac:dyDescent="0.2">
      <c r="A92" s="168"/>
      <c r="B92" s="168"/>
      <c r="C92" s="168"/>
      <c r="D92" s="168"/>
      <c r="E92" s="169"/>
      <c r="F92" s="169"/>
      <c r="G92" s="169"/>
      <c r="H92" s="169"/>
      <c r="I92" s="169"/>
      <c r="J92" s="169"/>
      <c r="K92" s="169"/>
      <c r="L92" s="169"/>
      <c r="M92" s="169"/>
      <c r="N92" s="7"/>
      <c r="O92" s="90"/>
    </row>
    <row r="93" spans="1:19" ht="18.75" customHeight="1" thickBot="1" x14ac:dyDescent="0.25">
      <c r="A93" s="381" t="s">
        <v>456</v>
      </c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/>
    </row>
    <row r="94" spans="1:19" ht="15.75" customHeight="1" x14ac:dyDescent="0.2">
      <c r="A94" s="214" t="s">
        <v>291</v>
      </c>
      <c r="B94" s="185" t="s">
        <v>38</v>
      </c>
      <c r="C94" s="185" t="s">
        <v>39</v>
      </c>
      <c r="D94" s="185" t="s">
        <v>40</v>
      </c>
      <c r="E94" s="185" t="s">
        <v>20</v>
      </c>
      <c r="F94" s="186"/>
      <c r="G94" s="186"/>
      <c r="H94" s="186"/>
      <c r="I94" s="186"/>
      <c r="J94" s="186">
        <v>2</v>
      </c>
      <c r="K94" s="186"/>
      <c r="L94" s="186"/>
      <c r="M94" s="187">
        <v>2</v>
      </c>
      <c r="N94" s="188" t="s">
        <v>7</v>
      </c>
      <c r="O94"/>
    </row>
    <row r="95" spans="1:19" ht="15.75" customHeight="1" x14ac:dyDescent="0.2">
      <c r="A95" s="200" t="s">
        <v>292</v>
      </c>
      <c r="B95" s="190" t="s">
        <v>41</v>
      </c>
      <c r="C95" s="190" t="s">
        <v>39</v>
      </c>
      <c r="D95" s="190" t="s">
        <v>40</v>
      </c>
      <c r="E95" s="190" t="s">
        <v>20</v>
      </c>
      <c r="F95" s="191"/>
      <c r="G95" s="191"/>
      <c r="H95" s="191"/>
      <c r="I95" s="191"/>
      <c r="J95" s="191">
        <v>1</v>
      </c>
      <c r="K95" s="191"/>
      <c r="L95" s="191"/>
      <c r="M95" s="192">
        <v>2</v>
      </c>
      <c r="N95" s="193" t="s">
        <v>11</v>
      </c>
      <c r="O95"/>
    </row>
    <row r="96" spans="1:19" ht="15.75" customHeight="1" x14ac:dyDescent="0.2">
      <c r="A96" s="294" t="s">
        <v>293</v>
      </c>
      <c r="B96" s="295" t="s">
        <v>44</v>
      </c>
      <c r="C96" s="295" t="s">
        <v>42</v>
      </c>
      <c r="D96" s="295"/>
      <c r="E96" s="295"/>
      <c r="F96" s="296"/>
      <c r="G96" s="296"/>
      <c r="H96" s="296"/>
      <c r="I96" s="296"/>
      <c r="J96" s="296"/>
      <c r="K96" s="296">
        <v>2</v>
      </c>
      <c r="L96" s="296"/>
      <c r="M96" s="297">
        <v>2</v>
      </c>
      <c r="N96" s="298" t="s">
        <v>7</v>
      </c>
      <c r="O96"/>
    </row>
    <row r="97" spans="1:16" ht="15.75" customHeight="1" x14ac:dyDescent="0.2">
      <c r="A97" s="299" t="s">
        <v>294</v>
      </c>
      <c r="B97" s="300" t="s">
        <v>45</v>
      </c>
      <c r="C97" s="300" t="s">
        <v>42</v>
      </c>
      <c r="D97" s="300"/>
      <c r="E97" s="300"/>
      <c r="F97" s="301"/>
      <c r="G97" s="301"/>
      <c r="H97" s="301"/>
      <c r="I97" s="301"/>
      <c r="J97" s="301"/>
      <c r="K97" s="301">
        <v>1</v>
      </c>
      <c r="L97" s="301"/>
      <c r="M97" s="302">
        <v>2</v>
      </c>
      <c r="N97" s="303" t="s">
        <v>11</v>
      </c>
      <c r="O97"/>
    </row>
    <row r="98" spans="1:16" ht="15.75" customHeight="1" x14ac:dyDescent="0.2">
      <c r="A98" s="166"/>
      <c r="B98" s="162"/>
      <c r="C98" s="163"/>
      <c r="D98" s="163"/>
      <c r="E98" s="163"/>
      <c r="F98" s="164"/>
      <c r="G98" s="164"/>
      <c r="H98" s="164"/>
      <c r="I98" s="164"/>
      <c r="J98" s="164"/>
      <c r="K98" s="164"/>
      <c r="L98" s="164"/>
      <c r="M98" s="165"/>
      <c r="N98" s="167"/>
      <c r="O98"/>
    </row>
    <row r="99" spans="1:16" ht="15.75" customHeight="1" thickBot="1" x14ac:dyDescent="0.25">
      <c r="A99" s="182"/>
      <c r="B99" s="156"/>
      <c r="C99" s="157"/>
      <c r="D99" s="157"/>
      <c r="E99" s="157"/>
      <c r="F99" s="158"/>
      <c r="G99" s="158"/>
      <c r="H99" s="158"/>
      <c r="I99" s="158"/>
      <c r="J99" s="158"/>
      <c r="K99" s="159"/>
      <c r="L99" s="158"/>
      <c r="M99" s="160"/>
      <c r="N99" s="161"/>
      <c r="O99"/>
    </row>
    <row r="100" spans="1:16" ht="15.75" customHeight="1" x14ac:dyDescent="0.2">
      <c r="A100" s="369" t="s">
        <v>89</v>
      </c>
      <c r="B100" s="370"/>
      <c r="C100" s="370"/>
      <c r="D100" s="370"/>
      <c r="E100" s="371">
        <f>SUM(M94:M99)</f>
        <v>8</v>
      </c>
      <c r="F100" s="371"/>
      <c r="G100" s="371"/>
      <c r="H100" s="371"/>
      <c r="I100" s="371"/>
      <c r="J100" s="371"/>
      <c r="K100" s="371"/>
      <c r="L100" s="371"/>
      <c r="M100" s="372"/>
      <c r="N100" s="116"/>
    </row>
    <row r="101" spans="1:16" ht="15.75" customHeight="1" x14ac:dyDescent="0.2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90"/>
    </row>
    <row r="102" spans="1:16" ht="13.5" thickBot="1" x14ac:dyDescent="0.25">
      <c r="A102" s="381" t="s">
        <v>459</v>
      </c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173" t="s">
        <v>458</v>
      </c>
    </row>
    <row r="103" spans="1:16" ht="15.75" customHeight="1" x14ac:dyDescent="0.2">
      <c r="A103" s="184" t="s">
        <v>280</v>
      </c>
      <c r="B103" s="215" t="s">
        <v>124</v>
      </c>
      <c r="C103" s="215" t="s">
        <v>83</v>
      </c>
      <c r="D103" s="215" t="s">
        <v>277</v>
      </c>
      <c r="E103" s="215" t="s">
        <v>20</v>
      </c>
      <c r="F103" s="216"/>
      <c r="G103" s="216"/>
      <c r="H103" s="216"/>
      <c r="I103" s="216">
        <v>2</v>
      </c>
      <c r="J103" s="216"/>
      <c r="K103" s="216"/>
      <c r="L103" s="216"/>
      <c r="M103" s="216">
        <v>2</v>
      </c>
      <c r="N103" s="188" t="s">
        <v>7</v>
      </c>
      <c r="O103" s="90"/>
    </row>
    <row r="104" spans="1:16" ht="15.75" customHeight="1" x14ac:dyDescent="0.2">
      <c r="A104" s="194" t="s">
        <v>279</v>
      </c>
      <c r="B104" s="201" t="s">
        <v>125</v>
      </c>
      <c r="C104" s="201" t="s">
        <v>83</v>
      </c>
      <c r="D104" s="201" t="s">
        <v>277</v>
      </c>
      <c r="E104" s="201" t="s">
        <v>20</v>
      </c>
      <c r="F104" s="209"/>
      <c r="G104" s="209"/>
      <c r="H104" s="209"/>
      <c r="I104" s="209">
        <v>1</v>
      </c>
      <c r="J104" s="209"/>
      <c r="K104" s="209"/>
      <c r="L104" s="209"/>
      <c r="M104" s="209">
        <v>2</v>
      </c>
      <c r="N104" s="193" t="s">
        <v>11</v>
      </c>
      <c r="O104" s="90"/>
    </row>
    <row r="105" spans="1:16" customFormat="1" ht="12.75" customHeight="1" x14ac:dyDescent="0.2">
      <c r="A105" s="274" t="s">
        <v>465</v>
      </c>
      <c r="B105" s="275" t="s">
        <v>464</v>
      </c>
      <c r="C105" s="201" t="s">
        <v>83</v>
      </c>
      <c r="D105" s="275"/>
      <c r="E105" s="275"/>
      <c r="F105" s="275"/>
      <c r="G105" s="275">
        <v>2</v>
      </c>
      <c r="H105" s="275"/>
      <c r="I105" s="275"/>
      <c r="J105" s="275"/>
      <c r="K105" s="275"/>
      <c r="L105" s="275"/>
      <c r="M105" s="275">
        <v>2</v>
      </c>
      <c r="N105" s="276" t="s">
        <v>11</v>
      </c>
      <c r="O105" s="174" t="s">
        <v>455</v>
      </c>
      <c r="P105" s="62"/>
    </row>
    <row r="106" spans="1:16" ht="15.75" customHeight="1" x14ac:dyDescent="0.2">
      <c r="A106" s="195" t="s">
        <v>196</v>
      </c>
      <c r="B106" s="196" t="s">
        <v>67</v>
      </c>
      <c r="C106" s="196" t="s">
        <v>66</v>
      </c>
      <c r="D106" s="196"/>
      <c r="E106" s="196"/>
      <c r="F106" s="197"/>
      <c r="G106" s="197">
        <v>1</v>
      </c>
      <c r="H106" s="197"/>
      <c r="I106" s="197"/>
      <c r="J106" s="197"/>
      <c r="K106" s="197"/>
      <c r="L106" s="197"/>
      <c r="M106" s="197">
        <v>2</v>
      </c>
      <c r="N106" s="198" t="s">
        <v>11</v>
      </c>
      <c r="O106" s="173" t="s">
        <v>479</v>
      </c>
    </row>
    <row r="107" spans="1:16" ht="15.75" customHeight="1" x14ac:dyDescent="0.2">
      <c r="A107" s="14" t="s">
        <v>258</v>
      </c>
      <c r="B107" s="18" t="s">
        <v>282</v>
      </c>
      <c r="C107" s="18" t="s">
        <v>56</v>
      </c>
      <c r="D107" s="18"/>
      <c r="E107" s="18"/>
      <c r="F107" s="57"/>
      <c r="G107" s="57"/>
      <c r="H107" s="57"/>
      <c r="I107" s="57">
        <v>2</v>
      </c>
      <c r="J107" s="57"/>
      <c r="K107" s="57"/>
      <c r="L107" s="57"/>
      <c r="M107" s="57">
        <v>3</v>
      </c>
      <c r="N107" s="72" t="s">
        <v>7</v>
      </c>
      <c r="O107" s="90"/>
    </row>
    <row r="108" spans="1:16" ht="22.5" customHeight="1" x14ac:dyDescent="0.2">
      <c r="A108" s="358" t="s">
        <v>219</v>
      </c>
      <c r="B108" s="359" t="s">
        <v>220</v>
      </c>
      <c r="C108" s="359" t="s">
        <v>136</v>
      </c>
      <c r="D108" s="359"/>
      <c r="E108" s="359"/>
      <c r="F108" s="354"/>
      <c r="G108" s="354"/>
      <c r="H108" s="354"/>
      <c r="I108" s="354">
        <v>2</v>
      </c>
      <c r="J108" s="354"/>
      <c r="K108" s="354"/>
      <c r="L108" s="354"/>
      <c r="M108" s="360">
        <v>3</v>
      </c>
      <c r="N108" s="361" t="s">
        <v>221</v>
      </c>
      <c r="O108" s="90"/>
    </row>
    <row r="109" spans="1:16" ht="15.75" customHeight="1" x14ac:dyDescent="0.2">
      <c r="A109" s="232" t="s">
        <v>252</v>
      </c>
      <c r="B109" s="359" t="s">
        <v>142</v>
      </c>
      <c r="C109" s="359" t="s">
        <v>127</v>
      </c>
      <c r="D109" s="359"/>
      <c r="E109" s="359"/>
      <c r="F109" s="354"/>
      <c r="G109" s="354"/>
      <c r="H109" s="354"/>
      <c r="I109" s="354">
        <v>2</v>
      </c>
      <c r="J109" s="354"/>
      <c r="K109" s="354"/>
      <c r="L109" s="354"/>
      <c r="M109" s="362">
        <v>3</v>
      </c>
      <c r="N109" s="135" t="s">
        <v>7</v>
      </c>
      <c r="O109" s="90"/>
    </row>
    <row r="110" spans="1:16" ht="12.75" x14ac:dyDescent="0.2">
      <c r="A110" s="358" t="s">
        <v>227</v>
      </c>
      <c r="B110" s="359" t="s">
        <v>148</v>
      </c>
      <c r="C110" s="359" t="s">
        <v>66</v>
      </c>
      <c r="D110" s="363" t="s">
        <v>204</v>
      </c>
      <c r="E110" s="359" t="s">
        <v>20</v>
      </c>
      <c r="F110" s="354"/>
      <c r="G110" s="354"/>
      <c r="H110" s="354"/>
      <c r="I110" s="354">
        <v>1</v>
      </c>
      <c r="J110" s="354"/>
      <c r="K110" s="354"/>
      <c r="L110" s="354"/>
      <c r="M110" s="354">
        <v>1</v>
      </c>
      <c r="N110" s="135" t="s">
        <v>7</v>
      </c>
      <c r="O110" s="90"/>
    </row>
    <row r="111" spans="1:16" ht="12.75" x14ac:dyDescent="0.2">
      <c r="A111" s="358" t="s">
        <v>228</v>
      </c>
      <c r="B111" s="359" t="s">
        <v>149</v>
      </c>
      <c r="C111" s="359" t="s">
        <v>66</v>
      </c>
      <c r="D111" s="363" t="s">
        <v>204</v>
      </c>
      <c r="E111" s="359" t="s">
        <v>20</v>
      </c>
      <c r="F111" s="354"/>
      <c r="G111" s="354"/>
      <c r="H111" s="354"/>
      <c r="I111" s="354">
        <v>2</v>
      </c>
      <c r="J111" s="354"/>
      <c r="K111" s="354"/>
      <c r="L111" s="354"/>
      <c r="M111" s="354">
        <v>2</v>
      </c>
      <c r="N111" s="135" t="s">
        <v>11</v>
      </c>
      <c r="O111" s="90"/>
    </row>
    <row r="112" spans="1:16" ht="15.75" customHeight="1" x14ac:dyDescent="0.2">
      <c r="A112" s="352" t="s">
        <v>237</v>
      </c>
      <c r="B112" s="353" t="s">
        <v>160</v>
      </c>
      <c r="C112" s="353" t="s">
        <v>161</v>
      </c>
      <c r="D112" s="353"/>
      <c r="E112" s="353"/>
      <c r="F112" s="354"/>
      <c r="G112" s="354"/>
      <c r="H112" s="354"/>
      <c r="I112" s="354">
        <v>2</v>
      </c>
      <c r="J112" s="354"/>
      <c r="K112" s="354"/>
      <c r="L112" s="354"/>
      <c r="M112" s="360">
        <v>2</v>
      </c>
      <c r="N112" s="426" t="s">
        <v>7</v>
      </c>
      <c r="O112" s="90"/>
    </row>
    <row r="113" spans="1:15" ht="15.75" customHeight="1" x14ac:dyDescent="0.2">
      <c r="A113" s="427" t="s">
        <v>238</v>
      </c>
      <c r="B113" s="353" t="s">
        <v>162</v>
      </c>
      <c r="C113" s="353" t="s">
        <v>161</v>
      </c>
      <c r="D113" s="353"/>
      <c r="E113" s="353"/>
      <c r="F113" s="354"/>
      <c r="G113" s="354"/>
      <c r="H113" s="354"/>
      <c r="I113" s="354">
        <v>1</v>
      </c>
      <c r="J113" s="354"/>
      <c r="K113" s="354"/>
      <c r="L113" s="354"/>
      <c r="M113" s="360">
        <v>2</v>
      </c>
      <c r="N113" s="426" t="s">
        <v>11</v>
      </c>
      <c r="O113" s="90"/>
    </row>
    <row r="114" spans="1:15" ht="15.75" customHeight="1" x14ac:dyDescent="0.2">
      <c r="A114" s="69" t="s">
        <v>330</v>
      </c>
      <c r="B114" s="18" t="s">
        <v>331</v>
      </c>
      <c r="C114" s="18" t="s">
        <v>159</v>
      </c>
      <c r="D114" s="18"/>
      <c r="E114" s="18"/>
      <c r="F114" s="57"/>
      <c r="G114" s="57"/>
      <c r="H114" s="57"/>
      <c r="I114" s="57">
        <v>1</v>
      </c>
      <c r="J114" s="57"/>
      <c r="K114" s="57"/>
      <c r="L114" s="57"/>
      <c r="M114" s="85">
        <v>1</v>
      </c>
      <c r="N114" s="58" t="s">
        <v>7</v>
      </c>
      <c r="O114" s="90"/>
    </row>
    <row r="115" spans="1:15" ht="15.75" customHeight="1" x14ac:dyDescent="0.2">
      <c r="A115" s="69" t="s">
        <v>396</v>
      </c>
      <c r="B115" s="18" t="s">
        <v>331</v>
      </c>
      <c r="C115" s="18" t="s">
        <v>159</v>
      </c>
      <c r="D115" s="18"/>
      <c r="E115" s="18"/>
      <c r="F115" s="57"/>
      <c r="G115" s="57"/>
      <c r="H115" s="57"/>
      <c r="I115" s="57">
        <v>2</v>
      </c>
      <c r="J115" s="57"/>
      <c r="K115" s="57"/>
      <c r="L115" s="57"/>
      <c r="M115" s="85">
        <v>3</v>
      </c>
      <c r="N115" s="58" t="s">
        <v>11</v>
      </c>
      <c r="O115" s="90"/>
    </row>
    <row r="116" spans="1:15" ht="15.75" customHeight="1" x14ac:dyDescent="0.2">
      <c r="A116" s="17" t="s">
        <v>239</v>
      </c>
      <c r="B116" s="18" t="s">
        <v>163</v>
      </c>
      <c r="C116" s="18" t="s">
        <v>164</v>
      </c>
      <c r="D116" s="18"/>
      <c r="E116" s="18"/>
      <c r="F116" s="57"/>
      <c r="G116" s="57"/>
      <c r="H116" s="57"/>
      <c r="I116" s="57">
        <v>2</v>
      </c>
      <c r="J116" s="57"/>
      <c r="K116" s="57"/>
      <c r="L116" s="57"/>
      <c r="M116" s="57">
        <v>3</v>
      </c>
      <c r="N116" s="58" t="s">
        <v>7</v>
      </c>
      <c r="O116" s="90"/>
    </row>
    <row r="117" spans="1:15" ht="15.75" customHeight="1" x14ac:dyDescent="0.2">
      <c r="A117" s="352" t="s">
        <v>351</v>
      </c>
      <c r="B117" s="353" t="s">
        <v>353</v>
      </c>
      <c r="C117" s="353" t="s">
        <v>159</v>
      </c>
      <c r="D117" s="353"/>
      <c r="E117" s="353"/>
      <c r="F117" s="354"/>
      <c r="G117" s="354"/>
      <c r="H117" s="354"/>
      <c r="I117" s="354">
        <v>1</v>
      </c>
      <c r="J117" s="354"/>
      <c r="K117" s="354"/>
      <c r="L117" s="354"/>
      <c r="M117" s="360">
        <v>1</v>
      </c>
      <c r="N117" s="426" t="s">
        <v>7</v>
      </c>
      <c r="O117" s="90"/>
    </row>
    <row r="118" spans="1:15" ht="15.75" customHeight="1" x14ac:dyDescent="0.2">
      <c r="A118" s="352" t="s">
        <v>395</v>
      </c>
      <c r="B118" s="353" t="s">
        <v>354</v>
      </c>
      <c r="C118" s="353" t="s">
        <v>159</v>
      </c>
      <c r="D118" s="353"/>
      <c r="E118" s="353"/>
      <c r="F118" s="354"/>
      <c r="G118" s="354"/>
      <c r="H118" s="354"/>
      <c r="I118" s="354">
        <v>2</v>
      </c>
      <c r="J118" s="354"/>
      <c r="K118" s="354"/>
      <c r="L118" s="354"/>
      <c r="M118" s="360">
        <v>3</v>
      </c>
      <c r="N118" s="426" t="s">
        <v>11</v>
      </c>
      <c r="O118" s="90"/>
    </row>
    <row r="119" spans="1:15" ht="15.75" customHeight="1" x14ac:dyDescent="0.2">
      <c r="A119" s="289" t="s">
        <v>261</v>
      </c>
      <c r="B119" s="284" t="s">
        <v>132</v>
      </c>
      <c r="C119" s="284" t="s">
        <v>130</v>
      </c>
      <c r="D119" s="284" t="s">
        <v>60</v>
      </c>
      <c r="E119" s="284" t="s">
        <v>20</v>
      </c>
      <c r="F119" s="285"/>
      <c r="G119" s="285"/>
      <c r="H119" s="285"/>
      <c r="I119" s="285">
        <v>2</v>
      </c>
      <c r="J119" s="285"/>
      <c r="K119" s="285"/>
      <c r="L119" s="285"/>
      <c r="M119" s="285">
        <v>2</v>
      </c>
      <c r="N119" s="281" t="s">
        <v>7</v>
      </c>
      <c r="O119" s="90"/>
    </row>
    <row r="120" spans="1:15" ht="15.75" customHeight="1" x14ac:dyDescent="0.2">
      <c r="A120" s="289" t="s">
        <v>260</v>
      </c>
      <c r="B120" s="284" t="s">
        <v>133</v>
      </c>
      <c r="C120" s="284" t="s">
        <v>130</v>
      </c>
      <c r="D120" s="284" t="s">
        <v>60</v>
      </c>
      <c r="E120" s="284" t="s">
        <v>20</v>
      </c>
      <c r="F120" s="285"/>
      <c r="G120" s="285"/>
      <c r="H120" s="285"/>
      <c r="I120" s="285">
        <v>1</v>
      </c>
      <c r="J120" s="285"/>
      <c r="K120" s="285"/>
      <c r="L120" s="285"/>
      <c r="M120" s="285">
        <v>2</v>
      </c>
      <c r="N120" s="281" t="s">
        <v>11</v>
      </c>
      <c r="O120" s="90"/>
    </row>
    <row r="121" spans="1:15" ht="15.75" customHeight="1" x14ac:dyDescent="0.2">
      <c r="A121" s="199" t="s">
        <v>269</v>
      </c>
      <c r="B121" s="201" t="s">
        <v>119</v>
      </c>
      <c r="C121" s="201" t="s">
        <v>69</v>
      </c>
      <c r="D121" s="201" t="s">
        <v>218</v>
      </c>
      <c r="E121" s="201" t="s">
        <v>20</v>
      </c>
      <c r="F121" s="209"/>
      <c r="G121" s="209"/>
      <c r="H121" s="209"/>
      <c r="I121" s="209"/>
      <c r="J121" s="209">
        <v>2</v>
      </c>
      <c r="K121" s="209"/>
      <c r="L121" s="209"/>
      <c r="M121" s="209">
        <v>2</v>
      </c>
      <c r="N121" s="193" t="s">
        <v>7</v>
      </c>
      <c r="O121" s="90"/>
    </row>
    <row r="122" spans="1:15" ht="15.75" customHeight="1" x14ac:dyDescent="0.2">
      <c r="A122" s="199" t="s">
        <v>268</v>
      </c>
      <c r="B122" s="201" t="s">
        <v>120</v>
      </c>
      <c r="C122" s="201" t="s">
        <v>69</v>
      </c>
      <c r="D122" s="201" t="s">
        <v>218</v>
      </c>
      <c r="E122" s="201" t="s">
        <v>20</v>
      </c>
      <c r="F122" s="209"/>
      <c r="G122" s="209"/>
      <c r="H122" s="209"/>
      <c r="I122" s="209"/>
      <c r="J122" s="209">
        <v>2</v>
      </c>
      <c r="K122" s="209"/>
      <c r="L122" s="209"/>
      <c r="M122" s="209">
        <v>3</v>
      </c>
      <c r="N122" s="193" t="s">
        <v>11</v>
      </c>
      <c r="O122" s="90"/>
    </row>
    <row r="123" spans="1:15" ht="15.75" customHeight="1" x14ac:dyDescent="0.2">
      <c r="A123" s="232" t="s">
        <v>265</v>
      </c>
      <c r="B123" s="282" t="s">
        <v>126</v>
      </c>
      <c r="C123" s="282" t="s">
        <v>127</v>
      </c>
      <c r="D123" s="282" t="s">
        <v>52</v>
      </c>
      <c r="E123" s="282" t="s">
        <v>20</v>
      </c>
      <c r="F123" s="86"/>
      <c r="G123" s="86"/>
      <c r="H123" s="86"/>
      <c r="I123" s="86"/>
      <c r="J123" s="86">
        <v>1</v>
      </c>
      <c r="K123" s="86"/>
      <c r="L123" s="86"/>
      <c r="M123" s="86">
        <v>1</v>
      </c>
      <c r="N123" s="235" t="s">
        <v>7</v>
      </c>
      <c r="O123" s="90"/>
    </row>
    <row r="124" spans="1:15" ht="15.75" customHeight="1" x14ac:dyDescent="0.2">
      <c r="A124" s="232" t="s">
        <v>264</v>
      </c>
      <c r="B124" s="282" t="s">
        <v>128</v>
      </c>
      <c r="C124" s="282" t="s">
        <v>127</v>
      </c>
      <c r="D124" s="282" t="s">
        <v>52</v>
      </c>
      <c r="E124" s="282" t="s">
        <v>20</v>
      </c>
      <c r="F124" s="86"/>
      <c r="G124" s="86"/>
      <c r="H124" s="86"/>
      <c r="I124" s="86"/>
      <c r="J124" s="86">
        <v>1</v>
      </c>
      <c r="K124" s="86"/>
      <c r="L124" s="86"/>
      <c r="M124" s="86">
        <v>1</v>
      </c>
      <c r="N124" s="235" t="s">
        <v>11</v>
      </c>
      <c r="O124" s="90"/>
    </row>
    <row r="125" spans="1:15" ht="15.75" customHeight="1" x14ac:dyDescent="0.2">
      <c r="A125" s="232" t="s">
        <v>256</v>
      </c>
      <c r="B125" s="282" t="s">
        <v>137</v>
      </c>
      <c r="C125" s="282" t="s">
        <v>87</v>
      </c>
      <c r="D125" s="282"/>
      <c r="E125" s="282"/>
      <c r="F125" s="86"/>
      <c r="G125" s="86"/>
      <c r="H125" s="86"/>
      <c r="I125" s="86"/>
      <c r="J125" s="86">
        <v>2</v>
      </c>
      <c r="K125" s="86"/>
      <c r="L125" s="86"/>
      <c r="M125" s="86">
        <v>3</v>
      </c>
      <c r="N125" s="235" t="s">
        <v>7</v>
      </c>
      <c r="O125" s="90"/>
    </row>
    <row r="126" spans="1:15" ht="15.75" customHeight="1" x14ac:dyDescent="0.2">
      <c r="A126" s="232" t="s">
        <v>255</v>
      </c>
      <c r="B126" s="282" t="s">
        <v>138</v>
      </c>
      <c r="C126" s="282" t="s">
        <v>127</v>
      </c>
      <c r="D126" s="282"/>
      <c r="E126" s="282"/>
      <c r="F126" s="86"/>
      <c r="G126" s="86"/>
      <c r="H126" s="86"/>
      <c r="I126" s="86"/>
      <c r="J126" s="86">
        <v>2</v>
      </c>
      <c r="K126" s="86"/>
      <c r="L126" s="86"/>
      <c r="M126" s="86">
        <v>3</v>
      </c>
      <c r="N126" s="235" t="s">
        <v>7</v>
      </c>
      <c r="O126" s="90"/>
    </row>
    <row r="127" spans="1:15" ht="15.75" customHeight="1" x14ac:dyDescent="0.2">
      <c r="A127" s="277" t="s">
        <v>254</v>
      </c>
      <c r="B127" s="284" t="s">
        <v>139</v>
      </c>
      <c r="C127" s="284" t="s">
        <v>140</v>
      </c>
      <c r="D127" s="284"/>
      <c r="E127" s="284"/>
      <c r="F127" s="285"/>
      <c r="G127" s="285"/>
      <c r="H127" s="285"/>
      <c r="I127" s="285"/>
      <c r="J127" s="285">
        <v>2</v>
      </c>
      <c r="K127" s="285"/>
      <c r="L127" s="285"/>
      <c r="M127" s="286">
        <v>2</v>
      </c>
      <c r="N127" s="281" t="s">
        <v>7</v>
      </c>
      <c r="O127" s="90"/>
    </row>
    <row r="128" spans="1:15" ht="15.75" customHeight="1" x14ac:dyDescent="0.2">
      <c r="A128" s="277" t="s">
        <v>253</v>
      </c>
      <c r="B128" s="284" t="s">
        <v>141</v>
      </c>
      <c r="C128" s="284" t="s">
        <v>140</v>
      </c>
      <c r="D128" s="284"/>
      <c r="E128" s="284"/>
      <c r="F128" s="285"/>
      <c r="G128" s="285"/>
      <c r="H128" s="285"/>
      <c r="I128" s="285"/>
      <c r="J128" s="285">
        <v>1</v>
      </c>
      <c r="K128" s="285"/>
      <c r="L128" s="285"/>
      <c r="M128" s="286">
        <v>2</v>
      </c>
      <c r="N128" s="281" t="s">
        <v>11</v>
      </c>
      <c r="O128" s="90"/>
    </row>
    <row r="129" spans="1:15" ht="15.75" customHeight="1" x14ac:dyDescent="0.2">
      <c r="A129" s="194" t="s">
        <v>222</v>
      </c>
      <c r="B129" s="201" t="s">
        <v>143</v>
      </c>
      <c r="C129" s="201" t="s">
        <v>144</v>
      </c>
      <c r="D129" s="222" t="s">
        <v>278</v>
      </c>
      <c r="E129" s="201" t="s">
        <v>20</v>
      </c>
      <c r="F129" s="209"/>
      <c r="G129" s="209"/>
      <c r="H129" s="209"/>
      <c r="I129" s="209"/>
      <c r="J129" s="209">
        <v>1</v>
      </c>
      <c r="K129" s="209"/>
      <c r="L129" s="209"/>
      <c r="M129" s="209">
        <v>1</v>
      </c>
      <c r="N129" s="193" t="s">
        <v>7</v>
      </c>
      <c r="O129" s="90"/>
    </row>
    <row r="130" spans="1:15" ht="15.75" customHeight="1" x14ac:dyDescent="0.2">
      <c r="A130" s="194" t="s">
        <v>223</v>
      </c>
      <c r="B130" s="201" t="s">
        <v>145</v>
      </c>
      <c r="C130" s="201" t="s">
        <v>144</v>
      </c>
      <c r="D130" s="222" t="s">
        <v>278</v>
      </c>
      <c r="E130" s="201" t="s">
        <v>20</v>
      </c>
      <c r="F130" s="209"/>
      <c r="G130" s="209"/>
      <c r="H130" s="209"/>
      <c r="I130" s="209"/>
      <c r="J130" s="209">
        <v>2</v>
      </c>
      <c r="K130" s="209"/>
      <c r="L130" s="209"/>
      <c r="M130" s="209">
        <v>2</v>
      </c>
      <c r="N130" s="193" t="s">
        <v>11</v>
      </c>
      <c r="O130" s="90"/>
    </row>
    <row r="131" spans="1:15" ht="15.75" customHeight="1" x14ac:dyDescent="0.2">
      <c r="A131" s="232" t="s">
        <v>229</v>
      </c>
      <c r="B131" s="282" t="s">
        <v>150</v>
      </c>
      <c r="C131" s="282" t="s">
        <v>151</v>
      </c>
      <c r="D131" s="282" t="s">
        <v>279</v>
      </c>
      <c r="E131" s="282" t="s">
        <v>20</v>
      </c>
      <c r="F131" s="86"/>
      <c r="G131" s="86"/>
      <c r="H131" s="86"/>
      <c r="I131" s="86"/>
      <c r="J131" s="86">
        <v>1</v>
      </c>
      <c r="K131" s="86"/>
      <c r="L131" s="86"/>
      <c r="M131" s="86">
        <v>1</v>
      </c>
      <c r="N131" s="235" t="s">
        <v>7</v>
      </c>
      <c r="O131" s="90"/>
    </row>
    <row r="132" spans="1:15" ht="15.75" customHeight="1" x14ac:dyDescent="0.2">
      <c r="A132" s="232" t="s">
        <v>230</v>
      </c>
      <c r="B132" s="282" t="s">
        <v>152</v>
      </c>
      <c r="C132" s="282" t="s">
        <v>151</v>
      </c>
      <c r="D132" s="282"/>
      <c r="E132" s="282" t="s">
        <v>20</v>
      </c>
      <c r="F132" s="86"/>
      <c r="G132" s="86"/>
      <c r="H132" s="86"/>
      <c r="I132" s="86"/>
      <c r="J132" s="86">
        <v>2</v>
      </c>
      <c r="K132" s="86"/>
      <c r="L132" s="86"/>
      <c r="M132" s="86">
        <v>2</v>
      </c>
      <c r="N132" s="235" t="s">
        <v>11</v>
      </c>
      <c r="O132" s="90"/>
    </row>
    <row r="133" spans="1:15" ht="15.75" customHeight="1" x14ac:dyDescent="0.2">
      <c r="A133" s="232" t="s">
        <v>231</v>
      </c>
      <c r="B133" s="282" t="s">
        <v>153</v>
      </c>
      <c r="C133" s="282" t="s">
        <v>63</v>
      </c>
      <c r="D133" s="282" t="s">
        <v>232</v>
      </c>
      <c r="E133" s="282" t="s">
        <v>20</v>
      </c>
      <c r="F133" s="86"/>
      <c r="G133" s="86"/>
      <c r="H133" s="86"/>
      <c r="I133" s="86"/>
      <c r="J133" s="86">
        <v>2</v>
      </c>
      <c r="K133" s="86"/>
      <c r="L133" s="86"/>
      <c r="M133" s="86">
        <v>3</v>
      </c>
      <c r="N133" s="235" t="s">
        <v>503</v>
      </c>
      <c r="O133" s="90"/>
    </row>
    <row r="134" spans="1:15" ht="15.75" customHeight="1" x14ac:dyDescent="0.2">
      <c r="A134" s="232" t="s">
        <v>422</v>
      </c>
      <c r="B134" s="282" t="s">
        <v>394</v>
      </c>
      <c r="C134" s="282" t="s">
        <v>159</v>
      </c>
      <c r="D134" s="282"/>
      <c r="E134" s="282"/>
      <c r="F134" s="86"/>
      <c r="G134" s="86"/>
      <c r="H134" s="86"/>
      <c r="I134" s="86"/>
      <c r="J134" s="86">
        <v>2</v>
      </c>
      <c r="K134" s="86"/>
      <c r="L134" s="86"/>
      <c r="M134" s="86">
        <v>3</v>
      </c>
      <c r="N134" s="348" t="s">
        <v>7</v>
      </c>
      <c r="O134" s="90"/>
    </row>
    <row r="135" spans="1:15" ht="15.75" customHeight="1" x14ac:dyDescent="0.2">
      <c r="A135" s="283" t="s">
        <v>327</v>
      </c>
      <c r="B135" s="284" t="s">
        <v>326</v>
      </c>
      <c r="C135" s="284" t="s">
        <v>328</v>
      </c>
      <c r="D135" s="284"/>
      <c r="E135" s="284"/>
      <c r="F135" s="285"/>
      <c r="G135" s="285"/>
      <c r="H135" s="285"/>
      <c r="I135" s="285"/>
      <c r="J135" s="285">
        <v>2</v>
      </c>
      <c r="K135" s="285"/>
      <c r="L135" s="285"/>
      <c r="M135" s="286">
        <v>3</v>
      </c>
      <c r="N135" s="287" t="s">
        <v>11</v>
      </c>
      <c r="O135" s="90"/>
    </row>
    <row r="136" spans="1:15" ht="15.75" customHeight="1" x14ac:dyDescent="0.2">
      <c r="A136" s="349" t="s">
        <v>333</v>
      </c>
      <c r="B136" s="282" t="s">
        <v>334</v>
      </c>
      <c r="C136" s="282" t="s">
        <v>336</v>
      </c>
      <c r="D136" s="282" t="s">
        <v>337</v>
      </c>
      <c r="E136" s="282" t="s">
        <v>84</v>
      </c>
      <c r="F136" s="86"/>
      <c r="G136" s="86"/>
      <c r="H136" s="86"/>
      <c r="I136" s="86"/>
      <c r="J136" s="86">
        <v>1</v>
      </c>
      <c r="K136" s="86"/>
      <c r="L136" s="86"/>
      <c r="M136" s="86">
        <v>1</v>
      </c>
      <c r="N136" s="348" t="s">
        <v>7</v>
      </c>
      <c r="O136" s="90"/>
    </row>
    <row r="137" spans="1:15" ht="27" customHeight="1" x14ac:dyDescent="0.2">
      <c r="A137" s="349" t="s">
        <v>335</v>
      </c>
      <c r="B137" s="282" t="s">
        <v>334</v>
      </c>
      <c r="C137" s="282" t="s">
        <v>336</v>
      </c>
      <c r="D137" s="282" t="s">
        <v>337</v>
      </c>
      <c r="E137" s="282" t="s">
        <v>84</v>
      </c>
      <c r="F137" s="86"/>
      <c r="G137" s="86"/>
      <c r="H137" s="86"/>
      <c r="I137" s="86"/>
      <c r="J137" s="86">
        <v>2</v>
      </c>
      <c r="K137" s="86"/>
      <c r="L137" s="86"/>
      <c r="M137" s="86">
        <v>2</v>
      </c>
      <c r="N137" s="348" t="s">
        <v>11</v>
      </c>
      <c r="O137" s="90"/>
    </row>
    <row r="138" spans="1:15" ht="29.25" customHeight="1" x14ac:dyDescent="0.2">
      <c r="A138" s="14" t="s">
        <v>355</v>
      </c>
      <c r="B138" s="18" t="s">
        <v>356</v>
      </c>
      <c r="C138" s="18" t="s">
        <v>357</v>
      </c>
      <c r="D138" s="18"/>
      <c r="E138" s="18"/>
      <c r="F138" s="57"/>
      <c r="G138" s="57"/>
      <c r="H138" s="57"/>
      <c r="I138" s="57"/>
      <c r="J138" s="57">
        <v>2</v>
      </c>
      <c r="K138" s="57"/>
      <c r="L138" s="57"/>
      <c r="M138" s="85">
        <v>3</v>
      </c>
      <c r="N138" s="58" t="s">
        <v>7</v>
      </c>
      <c r="O138" s="90" t="s">
        <v>450</v>
      </c>
    </row>
    <row r="139" spans="1:15" ht="29.25" customHeight="1" x14ac:dyDescent="0.2">
      <c r="A139" s="14" t="s">
        <v>431</v>
      </c>
      <c r="B139" s="18" t="s">
        <v>356</v>
      </c>
      <c r="C139" s="18" t="s">
        <v>357</v>
      </c>
      <c r="D139" s="18"/>
      <c r="E139" s="18"/>
      <c r="F139" s="57"/>
      <c r="G139" s="57"/>
      <c r="H139" s="57"/>
      <c r="I139" s="57"/>
      <c r="J139" s="57">
        <v>2</v>
      </c>
      <c r="K139" s="57"/>
      <c r="L139" s="57"/>
      <c r="M139" s="85">
        <v>3</v>
      </c>
      <c r="N139" s="58" t="s">
        <v>11</v>
      </c>
      <c r="O139" s="90"/>
    </row>
    <row r="140" spans="1:15" ht="15.75" customHeight="1" x14ac:dyDescent="0.2">
      <c r="A140" s="232" t="s">
        <v>432</v>
      </c>
      <c r="B140" s="282" t="s">
        <v>394</v>
      </c>
      <c r="C140" s="282" t="s">
        <v>445</v>
      </c>
      <c r="D140" s="282"/>
      <c r="E140" s="282"/>
      <c r="F140" s="86"/>
      <c r="G140" s="86"/>
      <c r="H140" s="86"/>
      <c r="I140" s="86"/>
      <c r="J140" s="86">
        <v>2</v>
      </c>
      <c r="K140" s="86"/>
      <c r="L140" s="86"/>
      <c r="M140" s="86">
        <v>3</v>
      </c>
      <c r="N140" s="235" t="s">
        <v>7</v>
      </c>
      <c r="O140" s="90"/>
    </row>
    <row r="141" spans="1:15" ht="15.75" customHeight="1" x14ac:dyDescent="0.2">
      <c r="A141" s="199" t="s">
        <v>263</v>
      </c>
      <c r="B141" s="201" t="s">
        <v>129</v>
      </c>
      <c r="C141" s="201" t="s">
        <v>130</v>
      </c>
      <c r="D141" s="201" t="s">
        <v>60</v>
      </c>
      <c r="E141" s="201" t="s">
        <v>20</v>
      </c>
      <c r="F141" s="209"/>
      <c r="G141" s="209"/>
      <c r="H141" s="209"/>
      <c r="I141" s="209"/>
      <c r="J141" s="209"/>
      <c r="K141" s="209">
        <v>2</v>
      </c>
      <c r="L141" s="209"/>
      <c r="M141" s="209">
        <v>2</v>
      </c>
      <c r="N141" s="193" t="s">
        <v>7</v>
      </c>
      <c r="O141" s="90"/>
    </row>
    <row r="142" spans="1:15" ht="15.75" customHeight="1" x14ac:dyDescent="0.2">
      <c r="A142" s="199" t="s">
        <v>262</v>
      </c>
      <c r="B142" s="201" t="s">
        <v>131</v>
      </c>
      <c r="C142" s="201" t="s">
        <v>130</v>
      </c>
      <c r="D142" s="201" t="s">
        <v>60</v>
      </c>
      <c r="E142" s="201" t="s">
        <v>20</v>
      </c>
      <c r="F142" s="209"/>
      <c r="G142" s="209"/>
      <c r="H142" s="209"/>
      <c r="I142" s="209"/>
      <c r="J142" s="209"/>
      <c r="K142" s="209">
        <v>1</v>
      </c>
      <c r="L142" s="209"/>
      <c r="M142" s="209">
        <v>2</v>
      </c>
      <c r="N142" s="193" t="s">
        <v>11</v>
      </c>
      <c r="O142" s="90"/>
    </row>
    <row r="143" spans="1:15" ht="15.75" customHeight="1" x14ac:dyDescent="0.2">
      <c r="A143" s="227" t="s">
        <v>225</v>
      </c>
      <c r="B143" s="218" t="s">
        <v>146</v>
      </c>
      <c r="C143" s="218" t="s">
        <v>144</v>
      </c>
      <c r="D143" s="218" t="s">
        <v>224</v>
      </c>
      <c r="E143" s="218" t="s">
        <v>20</v>
      </c>
      <c r="F143" s="219"/>
      <c r="G143" s="219"/>
      <c r="H143" s="219"/>
      <c r="I143" s="219"/>
      <c r="J143" s="219"/>
      <c r="K143" s="219">
        <v>1</v>
      </c>
      <c r="L143" s="219"/>
      <c r="M143" s="219">
        <v>1</v>
      </c>
      <c r="N143" s="220" t="s">
        <v>7</v>
      </c>
      <c r="O143" s="90"/>
    </row>
    <row r="144" spans="1:15" ht="15.75" customHeight="1" x14ac:dyDescent="0.2">
      <c r="A144" s="227" t="s">
        <v>226</v>
      </c>
      <c r="B144" s="218" t="s">
        <v>147</v>
      </c>
      <c r="C144" s="218" t="s">
        <v>144</v>
      </c>
      <c r="D144" s="218" t="s">
        <v>224</v>
      </c>
      <c r="E144" s="218" t="s">
        <v>20</v>
      </c>
      <c r="F144" s="219"/>
      <c r="G144" s="219"/>
      <c r="H144" s="219"/>
      <c r="I144" s="219"/>
      <c r="J144" s="219"/>
      <c r="K144" s="219">
        <v>2</v>
      </c>
      <c r="L144" s="219"/>
      <c r="M144" s="219">
        <v>2</v>
      </c>
      <c r="N144" s="220" t="s">
        <v>11</v>
      </c>
      <c r="O144" s="90"/>
    </row>
    <row r="145" spans="1:15" ht="15.75" customHeight="1" x14ac:dyDescent="0.2">
      <c r="A145" s="227" t="s">
        <v>233</v>
      </c>
      <c r="B145" s="218" t="s">
        <v>154</v>
      </c>
      <c r="C145" s="218" t="s">
        <v>80</v>
      </c>
      <c r="D145" s="218" t="s">
        <v>276</v>
      </c>
      <c r="E145" s="218" t="s">
        <v>20</v>
      </c>
      <c r="F145" s="219"/>
      <c r="G145" s="219"/>
      <c r="H145" s="219"/>
      <c r="I145" s="219"/>
      <c r="J145" s="219"/>
      <c r="K145" s="219">
        <v>2</v>
      </c>
      <c r="L145" s="219"/>
      <c r="M145" s="347">
        <v>2</v>
      </c>
      <c r="N145" s="220" t="s">
        <v>7</v>
      </c>
      <c r="O145" s="90"/>
    </row>
    <row r="146" spans="1:15" ht="15.75" customHeight="1" x14ac:dyDescent="0.2">
      <c r="A146" s="227" t="s">
        <v>234</v>
      </c>
      <c r="B146" s="218" t="s">
        <v>155</v>
      </c>
      <c r="C146" s="218" t="s">
        <v>80</v>
      </c>
      <c r="D146" s="218" t="s">
        <v>276</v>
      </c>
      <c r="E146" s="218" t="s">
        <v>20</v>
      </c>
      <c r="F146" s="219"/>
      <c r="G146" s="219"/>
      <c r="H146" s="219"/>
      <c r="I146" s="219"/>
      <c r="J146" s="219"/>
      <c r="K146" s="219">
        <v>2</v>
      </c>
      <c r="L146" s="219"/>
      <c r="M146" s="347">
        <v>3</v>
      </c>
      <c r="N146" s="220" t="s">
        <v>11</v>
      </c>
      <c r="O146" s="90"/>
    </row>
    <row r="147" spans="1:15" ht="15.75" customHeight="1" x14ac:dyDescent="0.2">
      <c r="A147" s="232" t="s">
        <v>267</v>
      </c>
      <c r="B147" s="282" t="s">
        <v>121</v>
      </c>
      <c r="C147" s="282" t="s">
        <v>80</v>
      </c>
      <c r="D147" s="282" t="s">
        <v>276</v>
      </c>
      <c r="E147" s="282" t="s">
        <v>20</v>
      </c>
      <c r="F147" s="86"/>
      <c r="G147" s="86"/>
      <c r="H147" s="86"/>
      <c r="I147" s="86"/>
      <c r="J147" s="86"/>
      <c r="K147" s="86"/>
      <c r="L147" s="86">
        <v>2</v>
      </c>
      <c r="M147" s="86">
        <v>2</v>
      </c>
      <c r="N147" s="235" t="s">
        <v>7</v>
      </c>
      <c r="O147" s="90"/>
    </row>
    <row r="148" spans="1:15" ht="15.75" customHeight="1" x14ac:dyDescent="0.2">
      <c r="A148" s="232" t="s">
        <v>266</v>
      </c>
      <c r="B148" s="282" t="s">
        <v>123</v>
      </c>
      <c r="C148" s="282" t="s">
        <v>80</v>
      </c>
      <c r="D148" s="282" t="s">
        <v>276</v>
      </c>
      <c r="E148" s="282" t="s">
        <v>20</v>
      </c>
      <c r="F148" s="86"/>
      <c r="G148" s="86"/>
      <c r="H148" s="86"/>
      <c r="I148" s="86"/>
      <c r="J148" s="86"/>
      <c r="K148" s="86"/>
      <c r="L148" s="86">
        <v>1</v>
      </c>
      <c r="M148" s="86">
        <v>2</v>
      </c>
      <c r="N148" s="235" t="s">
        <v>11</v>
      </c>
      <c r="O148" s="90"/>
    </row>
    <row r="149" spans="1:15" ht="15.75" customHeight="1" x14ac:dyDescent="0.2">
      <c r="A149" s="194" t="s">
        <v>235</v>
      </c>
      <c r="B149" s="201" t="s">
        <v>156</v>
      </c>
      <c r="C149" s="201" t="s">
        <v>76</v>
      </c>
      <c r="D149" s="201" t="s">
        <v>276</v>
      </c>
      <c r="E149" s="201" t="s">
        <v>20</v>
      </c>
      <c r="F149" s="209"/>
      <c r="G149" s="209"/>
      <c r="H149" s="209"/>
      <c r="I149" s="209"/>
      <c r="J149" s="209"/>
      <c r="K149" s="209"/>
      <c r="L149" s="209">
        <v>1</v>
      </c>
      <c r="M149" s="209">
        <v>1</v>
      </c>
      <c r="N149" s="193" t="s">
        <v>7</v>
      </c>
      <c r="O149" s="90"/>
    </row>
    <row r="150" spans="1:15" ht="15.75" customHeight="1" x14ac:dyDescent="0.2">
      <c r="A150" s="194" t="s">
        <v>236</v>
      </c>
      <c r="B150" s="201" t="s">
        <v>157</v>
      </c>
      <c r="C150" s="201" t="s">
        <v>76</v>
      </c>
      <c r="D150" s="201" t="s">
        <v>276</v>
      </c>
      <c r="E150" s="201" t="s">
        <v>20</v>
      </c>
      <c r="F150" s="209"/>
      <c r="G150" s="209"/>
      <c r="H150" s="209"/>
      <c r="I150" s="209"/>
      <c r="J150" s="209"/>
      <c r="K150" s="209"/>
      <c r="L150" s="209">
        <v>2</v>
      </c>
      <c r="M150" s="209">
        <v>2</v>
      </c>
      <c r="N150" s="193" t="s">
        <v>11</v>
      </c>
      <c r="O150" s="90"/>
    </row>
    <row r="151" spans="1:15" ht="15.75" customHeight="1" x14ac:dyDescent="0.2">
      <c r="A151" s="232" t="s">
        <v>433</v>
      </c>
      <c r="B151" s="282" t="s">
        <v>439</v>
      </c>
      <c r="C151" s="282" t="s">
        <v>446</v>
      </c>
      <c r="D151" s="282"/>
      <c r="E151" s="282"/>
      <c r="F151" s="86">
        <v>2</v>
      </c>
      <c r="G151" s="86"/>
      <c r="H151" s="86"/>
      <c r="I151" s="86"/>
      <c r="J151" s="86"/>
      <c r="K151" s="86"/>
      <c r="L151" s="86"/>
      <c r="M151" s="86">
        <v>3</v>
      </c>
      <c r="N151" s="235" t="s">
        <v>7</v>
      </c>
      <c r="O151" s="90"/>
    </row>
    <row r="152" spans="1:15" ht="15.75" customHeight="1" x14ac:dyDescent="0.2">
      <c r="A152" s="232" t="s">
        <v>434</v>
      </c>
      <c r="B152" s="282" t="s">
        <v>440</v>
      </c>
      <c r="C152" s="282" t="s">
        <v>445</v>
      </c>
      <c r="D152" s="282"/>
      <c r="E152" s="282"/>
      <c r="F152" s="86"/>
      <c r="G152" s="86"/>
      <c r="H152" s="86"/>
      <c r="I152" s="86"/>
      <c r="J152" s="86"/>
      <c r="K152" s="86"/>
      <c r="L152" s="86">
        <v>2</v>
      </c>
      <c r="M152" s="86">
        <v>3</v>
      </c>
      <c r="N152" s="235" t="s">
        <v>11</v>
      </c>
      <c r="O152" s="90"/>
    </row>
    <row r="153" spans="1:15" ht="15.75" customHeight="1" x14ac:dyDescent="0.2">
      <c r="A153" s="227" t="s">
        <v>435</v>
      </c>
      <c r="B153" s="218" t="s">
        <v>441</v>
      </c>
      <c r="C153" s="218" t="s">
        <v>350</v>
      </c>
      <c r="D153" s="218"/>
      <c r="E153" s="218"/>
      <c r="F153" s="219"/>
      <c r="G153" s="219"/>
      <c r="H153" s="219"/>
      <c r="I153" s="219"/>
      <c r="J153" s="219">
        <v>2</v>
      </c>
      <c r="K153" s="219"/>
      <c r="L153" s="219"/>
      <c r="M153" s="219">
        <v>3</v>
      </c>
      <c r="N153" s="220" t="s">
        <v>11</v>
      </c>
      <c r="O153" s="90"/>
    </row>
    <row r="154" spans="1:15" ht="15.75" customHeight="1" x14ac:dyDescent="0.2">
      <c r="A154" s="352" t="s">
        <v>436</v>
      </c>
      <c r="B154" s="353" t="s">
        <v>442</v>
      </c>
      <c r="C154" s="353" t="s">
        <v>447</v>
      </c>
      <c r="D154" s="353"/>
      <c r="E154" s="353"/>
      <c r="F154" s="354">
        <v>2</v>
      </c>
      <c r="G154" s="354"/>
      <c r="H154" s="354"/>
      <c r="I154" s="354"/>
      <c r="J154" s="354"/>
      <c r="K154" s="354"/>
      <c r="L154" s="354"/>
      <c r="M154" s="354">
        <v>3</v>
      </c>
      <c r="N154" s="135" t="s">
        <v>7</v>
      </c>
      <c r="O154" s="90"/>
    </row>
    <row r="155" spans="1:15" ht="15.75" customHeight="1" x14ac:dyDescent="0.2">
      <c r="A155" s="352" t="s">
        <v>437</v>
      </c>
      <c r="B155" s="353" t="s">
        <v>443</v>
      </c>
      <c r="C155" s="353" t="s">
        <v>447</v>
      </c>
      <c r="D155" s="353"/>
      <c r="E155" s="353"/>
      <c r="F155" s="354">
        <v>2</v>
      </c>
      <c r="G155" s="354"/>
      <c r="H155" s="354"/>
      <c r="I155" s="354"/>
      <c r="J155" s="354"/>
      <c r="K155" s="354"/>
      <c r="L155" s="354"/>
      <c r="M155" s="354">
        <v>2</v>
      </c>
      <c r="N155" s="135" t="s">
        <v>11</v>
      </c>
      <c r="O155" s="90"/>
    </row>
    <row r="156" spans="1:15" ht="15.75" customHeight="1" x14ac:dyDescent="0.2">
      <c r="A156" s="352" t="s">
        <v>438</v>
      </c>
      <c r="B156" s="353" t="s">
        <v>444</v>
      </c>
      <c r="C156" s="353" t="s">
        <v>448</v>
      </c>
      <c r="D156" s="353"/>
      <c r="E156" s="353"/>
      <c r="F156" s="354">
        <v>2</v>
      </c>
      <c r="G156" s="354"/>
      <c r="H156" s="354"/>
      <c r="I156" s="354"/>
      <c r="J156" s="354"/>
      <c r="K156" s="354"/>
      <c r="L156" s="354"/>
      <c r="M156" s="354">
        <v>2</v>
      </c>
      <c r="N156" s="135" t="s">
        <v>11</v>
      </c>
      <c r="O156" s="90"/>
    </row>
    <row r="157" spans="1:15" ht="15.75" customHeight="1" x14ac:dyDescent="0.2">
      <c r="A157" s="232" t="s">
        <v>259</v>
      </c>
      <c r="B157" s="282" t="s">
        <v>281</v>
      </c>
      <c r="C157" s="282" t="s">
        <v>87</v>
      </c>
      <c r="D157" s="282"/>
      <c r="E157" s="282"/>
      <c r="F157" s="86">
        <v>2</v>
      </c>
      <c r="G157" s="86"/>
      <c r="H157" s="86"/>
      <c r="I157" s="86"/>
      <c r="J157" s="86"/>
      <c r="K157" s="86"/>
      <c r="L157" s="86"/>
      <c r="M157" s="86">
        <v>3</v>
      </c>
      <c r="N157" s="235" t="s">
        <v>7</v>
      </c>
      <c r="O157" s="90"/>
    </row>
    <row r="158" spans="1:15" ht="15.75" customHeight="1" x14ac:dyDescent="0.2">
      <c r="A158" s="232" t="s">
        <v>257</v>
      </c>
      <c r="B158" s="282" t="s">
        <v>283</v>
      </c>
      <c r="C158" s="282" t="s">
        <v>127</v>
      </c>
      <c r="D158" s="282"/>
      <c r="E158" s="282"/>
      <c r="F158" s="86">
        <v>2</v>
      </c>
      <c r="G158" s="86"/>
      <c r="H158" s="86"/>
      <c r="I158" s="86"/>
      <c r="J158" s="86"/>
      <c r="K158" s="86"/>
      <c r="L158" s="86"/>
      <c r="M158" s="86">
        <v>3</v>
      </c>
      <c r="N158" s="235" t="s">
        <v>7</v>
      </c>
      <c r="O158" s="90"/>
    </row>
    <row r="159" spans="1:15" ht="15.75" customHeight="1" x14ac:dyDescent="0.2">
      <c r="A159" s="349" t="s">
        <v>321</v>
      </c>
      <c r="B159" s="282" t="s">
        <v>320</v>
      </c>
      <c r="C159" s="282" t="s">
        <v>76</v>
      </c>
      <c r="D159" s="282"/>
      <c r="E159" s="282"/>
      <c r="F159" s="86">
        <v>1</v>
      </c>
      <c r="G159" s="86"/>
      <c r="H159" s="86"/>
      <c r="I159" s="86"/>
      <c r="J159" s="86"/>
      <c r="K159" s="86"/>
      <c r="L159" s="86"/>
      <c r="M159" s="86">
        <v>1</v>
      </c>
      <c r="N159" s="348" t="s">
        <v>7</v>
      </c>
      <c r="O159" s="90"/>
    </row>
    <row r="160" spans="1:15" ht="15.75" customHeight="1" thickBot="1" x14ac:dyDescent="0.25">
      <c r="A160" s="238" t="s">
        <v>322</v>
      </c>
      <c r="B160" s="247" t="s">
        <v>320</v>
      </c>
      <c r="C160" s="350" t="s">
        <v>76</v>
      </c>
      <c r="D160" s="350"/>
      <c r="E160" s="350"/>
      <c r="F160" s="111">
        <v>2</v>
      </c>
      <c r="G160" s="111"/>
      <c r="H160" s="111"/>
      <c r="I160" s="111"/>
      <c r="J160" s="111"/>
      <c r="K160" s="248"/>
      <c r="L160" s="111"/>
      <c r="M160" s="111">
        <v>2</v>
      </c>
      <c r="N160" s="351" t="s">
        <v>11</v>
      </c>
      <c r="O160" s="90"/>
    </row>
    <row r="161" spans="1:23" ht="15.75" customHeight="1" x14ac:dyDescent="0.2">
      <c r="A161" s="369" t="s">
        <v>89</v>
      </c>
      <c r="B161" s="370">
        <f>SUM(M85:M157)</f>
        <v>141</v>
      </c>
      <c r="C161" s="370"/>
      <c r="D161" s="370"/>
      <c r="E161" s="371">
        <f>SUM(M103:M160)</f>
        <v>127</v>
      </c>
      <c r="F161" s="371"/>
      <c r="G161" s="371"/>
      <c r="H161" s="371"/>
      <c r="I161" s="371"/>
      <c r="J161" s="371"/>
      <c r="K161" s="371"/>
      <c r="L161" s="371"/>
      <c r="M161" s="372"/>
      <c r="N161" s="7">
        <f>M150+M149+M141+M142+M130+M129+M121+M122+M105+M106+M104+M103</f>
        <v>23</v>
      </c>
      <c r="O161" s="319" t="s">
        <v>486</v>
      </c>
    </row>
    <row r="162" spans="1:23" ht="15.75" customHeight="1" x14ac:dyDescent="0.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90"/>
    </row>
    <row r="163" spans="1:23" ht="15.75" customHeight="1" thickBot="1" x14ac:dyDescent="0.25">
      <c r="A163" s="381" t="s">
        <v>240</v>
      </c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175"/>
    </row>
    <row r="164" spans="1:23" ht="15.75" customHeight="1" x14ac:dyDescent="0.2">
      <c r="A164" s="92" t="s">
        <v>398</v>
      </c>
      <c r="B164" s="33" t="s">
        <v>399</v>
      </c>
      <c r="C164" s="33" t="s">
        <v>400</v>
      </c>
      <c r="D164" s="33"/>
      <c r="E164" s="33"/>
      <c r="F164" s="66">
        <v>2</v>
      </c>
      <c r="G164" s="66"/>
      <c r="H164" s="66"/>
      <c r="I164" s="66"/>
      <c r="J164" s="66"/>
      <c r="K164" s="66"/>
      <c r="L164" s="66"/>
      <c r="M164" s="83">
        <v>3</v>
      </c>
      <c r="N164" s="68" t="s">
        <v>7</v>
      </c>
      <c r="O164" s="175"/>
    </row>
    <row r="165" spans="1:23" ht="15.75" customHeight="1" x14ac:dyDescent="0.2">
      <c r="A165" s="69" t="s">
        <v>401</v>
      </c>
      <c r="B165" s="6" t="s">
        <v>402</v>
      </c>
      <c r="C165" s="6" t="s">
        <v>400</v>
      </c>
      <c r="D165" s="6"/>
      <c r="E165" s="6"/>
      <c r="F165" s="70">
        <v>2</v>
      </c>
      <c r="G165" s="70"/>
      <c r="H165" s="70"/>
      <c r="I165" s="70"/>
      <c r="J165" s="70"/>
      <c r="K165" s="70"/>
      <c r="L165" s="70"/>
      <c r="M165" s="84">
        <v>2</v>
      </c>
      <c r="N165" s="72" t="s">
        <v>11</v>
      </c>
      <c r="O165" s="175"/>
    </row>
    <row r="166" spans="1:23" ht="15.75" customHeight="1" x14ac:dyDescent="0.2">
      <c r="A166" s="69" t="s">
        <v>403</v>
      </c>
      <c r="B166" s="6" t="s">
        <v>404</v>
      </c>
      <c r="C166" s="6" t="s">
        <v>400</v>
      </c>
      <c r="D166" s="6"/>
      <c r="E166" s="6"/>
      <c r="F166" s="70">
        <v>2</v>
      </c>
      <c r="G166" s="70"/>
      <c r="H166" s="70"/>
      <c r="I166" s="70"/>
      <c r="J166" s="70"/>
      <c r="K166" s="70"/>
      <c r="L166" s="70"/>
      <c r="M166" s="84">
        <v>3</v>
      </c>
      <c r="N166" s="72" t="s">
        <v>7</v>
      </c>
      <c r="O166" s="175"/>
    </row>
    <row r="167" spans="1:23" ht="15.75" customHeight="1" x14ac:dyDescent="0.2">
      <c r="A167" s="69" t="s">
        <v>405</v>
      </c>
      <c r="B167" s="6" t="s">
        <v>406</v>
      </c>
      <c r="C167" s="6" t="s">
        <v>400</v>
      </c>
      <c r="D167" s="6"/>
      <c r="E167" s="6"/>
      <c r="F167" s="70">
        <v>2</v>
      </c>
      <c r="G167" s="70"/>
      <c r="H167" s="70"/>
      <c r="I167" s="70"/>
      <c r="J167" s="70"/>
      <c r="K167" s="70"/>
      <c r="L167" s="70"/>
      <c r="M167" s="84">
        <v>2</v>
      </c>
      <c r="N167" s="72" t="s">
        <v>11</v>
      </c>
      <c r="O167" s="175"/>
    </row>
    <row r="168" spans="1:23" ht="15.75" customHeight="1" x14ac:dyDescent="0.2">
      <c r="A168" s="69" t="s">
        <v>407</v>
      </c>
      <c r="B168" s="6" t="s">
        <v>408</v>
      </c>
      <c r="C168" s="6" t="s">
        <v>400</v>
      </c>
      <c r="D168" s="6"/>
      <c r="E168" s="6"/>
      <c r="F168" s="70">
        <v>3</v>
      </c>
      <c r="G168" s="70"/>
      <c r="H168" s="70"/>
      <c r="I168" s="70"/>
      <c r="J168" s="70"/>
      <c r="K168" s="70"/>
      <c r="L168" s="70"/>
      <c r="M168" s="84">
        <v>3</v>
      </c>
      <c r="N168" s="72" t="s">
        <v>11</v>
      </c>
      <c r="O168" s="175"/>
    </row>
    <row r="169" spans="1:23" ht="15.75" customHeight="1" x14ac:dyDescent="0.2">
      <c r="A169" s="93" t="s">
        <v>409</v>
      </c>
      <c r="B169" s="49" t="s">
        <v>384</v>
      </c>
      <c r="C169" s="49" t="s">
        <v>159</v>
      </c>
      <c r="D169" s="49"/>
      <c r="E169" s="49"/>
      <c r="F169" s="94">
        <v>4</v>
      </c>
      <c r="G169" s="94"/>
      <c r="H169" s="94"/>
      <c r="I169" s="94"/>
      <c r="J169" s="94"/>
      <c r="K169" s="94"/>
      <c r="L169" s="94"/>
      <c r="M169" s="95">
        <v>4</v>
      </c>
      <c r="N169" s="96" t="s">
        <v>7</v>
      </c>
      <c r="O169" s="175"/>
    </row>
    <row r="170" spans="1:23" ht="15.75" customHeight="1" x14ac:dyDescent="0.2">
      <c r="A170" s="93" t="s">
        <v>410</v>
      </c>
      <c r="B170" s="49" t="s">
        <v>385</v>
      </c>
      <c r="C170" s="49" t="s">
        <v>159</v>
      </c>
      <c r="D170" s="49"/>
      <c r="E170" s="49"/>
      <c r="F170" s="94">
        <v>4</v>
      </c>
      <c r="G170" s="94"/>
      <c r="H170" s="94"/>
      <c r="I170" s="94"/>
      <c r="J170" s="94"/>
      <c r="K170" s="94"/>
      <c r="L170" s="94"/>
      <c r="M170" s="95">
        <v>4</v>
      </c>
      <c r="N170" s="96" t="s">
        <v>11</v>
      </c>
      <c r="O170" s="175"/>
    </row>
    <row r="171" spans="1:23" customFormat="1" ht="12.75" customHeight="1" x14ac:dyDescent="0.2">
      <c r="A171" s="355" t="s">
        <v>466</v>
      </c>
      <c r="B171" s="356" t="s">
        <v>452</v>
      </c>
      <c r="C171" s="356" t="s">
        <v>453</v>
      </c>
      <c r="D171" s="356"/>
      <c r="E171" s="356"/>
      <c r="F171" s="356"/>
      <c r="G171" s="356">
        <v>2</v>
      </c>
      <c r="H171" s="356"/>
      <c r="I171" s="356"/>
      <c r="J171" s="356"/>
      <c r="K171" s="356"/>
      <c r="L171" s="356"/>
      <c r="M171" s="356">
        <v>2</v>
      </c>
      <c r="N171" s="357" t="s">
        <v>454</v>
      </c>
      <c r="O171" s="174" t="s">
        <v>451</v>
      </c>
      <c r="P171" s="62"/>
    </row>
    <row r="172" spans="1:23" ht="15.75" customHeight="1" thickBot="1" x14ac:dyDescent="0.25">
      <c r="A172" s="16"/>
      <c r="B172" s="30" t="s">
        <v>241</v>
      </c>
      <c r="C172" s="30"/>
      <c r="D172" s="30"/>
      <c r="E172" s="30"/>
      <c r="F172" s="59"/>
      <c r="G172" s="59"/>
      <c r="H172" s="59"/>
      <c r="I172" s="59"/>
      <c r="J172" s="59"/>
      <c r="K172" s="59"/>
      <c r="L172" s="59"/>
      <c r="M172" s="59"/>
      <c r="N172" s="97"/>
      <c r="O172" s="176"/>
    </row>
    <row r="173" spans="1:23" ht="15.75" customHeight="1" x14ac:dyDescent="0.2">
      <c r="A173" s="268"/>
      <c r="B173" s="269"/>
      <c r="C173" s="269"/>
      <c r="D173" s="269"/>
      <c r="E173" s="269"/>
      <c r="F173" s="270"/>
      <c r="G173" s="270"/>
      <c r="H173" s="270"/>
      <c r="I173" s="270"/>
      <c r="J173" s="270"/>
      <c r="K173" s="270"/>
      <c r="L173" s="270"/>
      <c r="M173" s="270"/>
      <c r="N173" s="271"/>
      <c r="O173" s="272"/>
      <c r="P173" s="273"/>
      <c r="Q173" s="273"/>
      <c r="R173" s="273"/>
      <c r="S173" s="273"/>
      <c r="T173" s="273"/>
      <c r="U173" s="273"/>
      <c r="V173" s="273"/>
      <c r="W173" s="273"/>
    </row>
    <row r="174" spans="1:23" ht="15.75" customHeight="1" thickBot="1" x14ac:dyDescent="0.25">
      <c r="A174" s="381" t="s">
        <v>242</v>
      </c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175"/>
    </row>
    <row r="175" spans="1:23" ht="15.75" customHeight="1" x14ac:dyDescent="0.2">
      <c r="A175" s="101"/>
      <c r="B175" s="102"/>
      <c r="C175" s="102"/>
      <c r="D175" s="102"/>
      <c r="E175" s="102"/>
      <c r="F175" s="103"/>
      <c r="G175" s="103"/>
      <c r="H175" s="103"/>
      <c r="I175" s="103"/>
      <c r="J175" s="103"/>
      <c r="K175" s="103"/>
      <c r="L175" s="103"/>
      <c r="M175" s="103"/>
      <c r="N175" s="104"/>
      <c r="O175" s="176"/>
    </row>
    <row r="176" spans="1:23" ht="15.75" customHeight="1" thickBot="1" x14ac:dyDescent="0.25">
      <c r="A176" s="105"/>
      <c r="B176" s="106" t="s">
        <v>243</v>
      </c>
      <c r="C176" s="106"/>
      <c r="D176" s="106"/>
      <c r="E176" s="106"/>
      <c r="F176" s="107"/>
      <c r="G176" s="107"/>
      <c r="H176" s="107"/>
      <c r="I176" s="107"/>
      <c r="J176" s="107"/>
      <c r="K176" s="107"/>
      <c r="L176" s="107"/>
      <c r="M176" s="107"/>
      <c r="N176" s="108"/>
      <c r="O176" s="176"/>
    </row>
    <row r="177" spans="1:15" ht="15.75" customHeight="1" x14ac:dyDescent="0.2">
      <c r="A177" s="98"/>
      <c r="B177" s="99"/>
      <c r="C177" s="99"/>
      <c r="D177" s="99"/>
      <c r="E177" s="99"/>
      <c r="F177" s="100"/>
      <c r="G177" s="100"/>
      <c r="H177" s="100"/>
      <c r="I177" s="100"/>
      <c r="J177" s="100"/>
      <c r="K177" s="100"/>
      <c r="L177" s="100"/>
      <c r="M177" s="100"/>
      <c r="N177" s="80"/>
      <c r="O177" s="176"/>
    </row>
    <row r="178" spans="1:15" ht="15.75" customHeight="1" x14ac:dyDescent="0.2">
      <c r="A178" s="418" t="s">
        <v>244</v>
      </c>
      <c r="B178" s="419"/>
      <c r="C178" s="419"/>
      <c r="D178" s="419"/>
      <c r="E178" s="419"/>
      <c r="F178" s="419"/>
      <c r="G178" s="419"/>
      <c r="H178" s="419"/>
      <c r="I178" s="419"/>
      <c r="J178" s="419"/>
      <c r="K178" s="419"/>
      <c r="L178" s="419"/>
      <c r="M178" s="419"/>
      <c r="N178" s="420"/>
      <c r="O178" s="90"/>
    </row>
    <row r="179" spans="1:15" ht="15.75" customHeight="1" x14ac:dyDescent="0.2">
      <c r="A179" s="415" t="s">
        <v>245</v>
      </c>
      <c r="B179" s="416"/>
      <c r="C179" s="416"/>
      <c r="D179" s="416"/>
      <c r="E179" s="416"/>
      <c r="F179" s="416"/>
      <c r="G179" s="416"/>
      <c r="H179" s="416"/>
      <c r="I179" s="416"/>
      <c r="J179" s="416"/>
      <c r="K179" s="416"/>
      <c r="L179" s="416"/>
      <c r="M179" s="416"/>
      <c r="N179" s="417"/>
      <c r="O179" s="90"/>
    </row>
    <row r="180" spans="1:15" ht="15.75" customHeight="1" thickBot="1" x14ac:dyDescent="0.25">
      <c r="A180" s="421" t="s">
        <v>246</v>
      </c>
      <c r="B180" s="421"/>
      <c r="C180" s="421"/>
      <c r="D180" s="421"/>
      <c r="E180" s="421"/>
      <c r="F180" s="421"/>
      <c r="G180" s="421"/>
      <c r="H180" s="421"/>
      <c r="I180" s="421"/>
      <c r="J180" s="421"/>
      <c r="K180" s="421"/>
      <c r="L180" s="421"/>
      <c r="M180" s="421"/>
      <c r="N180" s="421"/>
      <c r="O180" s="90"/>
    </row>
    <row r="181" spans="1:15" ht="15.75" customHeight="1" x14ac:dyDescent="0.2">
      <c r="A181" s="184" t="s">
        <v>90</v>
      </c>
      <c r="B181" s="185" t="s">
        <v>91</v>
      </c>
      <c r="C181" s="185" t="s">
        <v>10</v>
      </c>
      <c r="D181" s="185" t="s">
        <v>40</v>
      </c>
      <c r="E181" s="185" t="s">
        <v>20</v>
      </c>
      <c r="F181" s="186"/>
      <c r="G181" s="186"/>
      <c r="H181" s="186">
        <v>2</v>
      </c>
      <c r="I181" s="186"/>
      <c r="J181" s="186"/>
      <c r="K181" s="186"/>
      <c r="L181" s="186"/>
      <c r="M181" s="221">
        <v>2</v>
      </c>
      <c r="N181" s="188" t="s">
        <v>7</v>
      </c>
      <c r="O181" s="90"/>
    </row>
    <row r="182" spans="1:15" ht="15.75" customHeight="1" x14ac:dyDescent="0.2">
      <c r="A182" s="194" t="s">
        <v>92</v>
      </c>
      <c r="B182" s="190" t="s">
        <v>93</v>
      </c>
      <c r="C182" s="190" t="s">
        <v>10</v>
      </c>
      <c r="D182" s="190" t="s">
        <v>40</v>
      </c>
      <c r="E182" s="190" t="s">
        <v>20</v>
      </c>
      <c r="F182" s="191"/>
      <c r="G182" s="191"/>
      <c r="H182" s="191">
        <v>2</v>
      </c>
      <c r="I182" s="191"/>
      <c r="J182" s="191"/>
      <c r="K182" s="191"/>
      <c r="L182" s="191"/>
      <c r="M182" s="210">
        <v>3</v>
      </c>
      <c r="N182" s="193" t="s">
        <v>11</v>
      </c>
      <c r="O182" s="90"/>
    </row>
    <row r="183" spans="1:15" ht="15.75" customHeight="1" x14ac:dyDescent="0.2">
      <c r="A183" s="14" t="s">
        <v>94</v>
      </c>
      <c r="B183" s="6" t="s">
        <v>95</v>
      </c>
      <c r="C183" s="6" t="s">
        <v>96</v>
      </c>
      <c r="D183" s="6" t="s">
        <v>97</v>
      </c>
      <c r="E183" s="6" t="s">
        <v>20</v>
      </c>
      <c r="F183" s="70"/>
      <c r="G183" s="70"/>
      <c r="H183" s="70"/>
      <c r="I183" s="70">
        <v>2</v>
      </c>
      <c r="J183" s="70"/>
      <c r="K183" s="70"/>
      <c r="L183" s="70"/>
      <c r="M183" s="85">
        <v>2</v>
      </c>
      <c r="N183" s="72" t="s">
        <v>7</v>
      </c>
      <c r="O183" s="90"/>
    </row>
    <row r="184" spans="1:15" ht="15.75" customHeight="1" x14ac:dyDescent="0.2">
      <c r="A184" s="14" t="s">
        <v>98</v>
      </c>
      <c r="B184" s="6" t="s">
        <v>99</v>
      </c>
      <c r="C184" s="6" t="s">
        <v>96</v>
      </c>
      <c r="D184" s="6" t="s">
        <v>97</v>
      </c>
      <c r="E184" s="6" t="s">
        <v>20</v>
      </c>
      <c r="F184" s="70"/>
      <c r="G184" s="70"/>
      <c r="H184" s="70"/>
      <c r="I184" s="70">
        <v>2</v>
      </c>
      <c r="J184" s="70"/>
      <c r="K184" s="70"/>
      <c r="L184" s="70"/>
      <c r="M184" s="85">
        <v>3</v>
      </c>
      <c r="N184" s="72" t="s">
        <v>11</v>
      </c>
      <c r="O184" s="90"/>
    </row>
    <row r="185" spans="1:15" ht="15.75" customHeight="1" x14ac:dyDescent="0.2">
      <c r="A185" s="232" t="s">
        <v>100</v>
      </c>
      <c r="B185" s="233" t="s">
        <v>101</v>
      </c>
      <c r="C185" s="233" t="s">
        <v>165</v>
      </c>
      <c r="D185" s="233" t="s">
        <v>103</v>
      </c>
      <c r="E185" s="233" t="s">
        <v>20</v>
      </c>
      <c r="F185" s="234"/>
      <c r="G185" s="234"/>
      <c r="H185" s="234"/>
      <c r="I185" s="234">
        <v>2</v>
      </c>
      <c r="J185" s="234"/>
      <c r="K185" s="234"/>
      <c r="L185" s="234"/>
      <c r="M185" s="86">
        <v>2</v>
      </c>
      <c r="N185" s="235" t="s">
        <v>7</v>
      </c>
      <c r="O185" s="90"/>
    </row>
    <row r="186" spans="1:15" ht="15.75" customHeight="1" x14ac:dyDescent="0.2">
      <c r="A186" s="232" t="s">
        <v>104</v>
      </c>
      <c r="B186" s="233" t="s">
        <v>105</v>
      </c>
      <c r="C186" s="233" t="s">
        <v>165</v>
      </c>
      <c r="D186" s="233" t="s">
        <v>103</v>
      </c>
      <c r="E186" s="233" t="s">
        <v>20</v>
      </c>
      <c r="F186" s="234"/>
      <c r="G186" s="234"/>
      <c r="H186" s="234"/>
      <c r="I186" s="234">
        <v>2</v>
      </c>
      <c r="J186" s="234"/>
      <c r="K186" s="234"/>
      <c r="L186" s="234"/>
      <c r="M186" s="86">
        <v>3</v>
      </c>
      <c r="N186" s="235" t="s">
        <v>11</v>
      </c>
      <c r="O186" s="90"/>
    </row>
    <row r="187" spans="1:15" ht="15.75" customHeight="1" x14ac:dyDescent="0.2">
      <c r="A187" s="194" t="s">
        <v>207</v>
      </c>
      <c r="B187" s="201" t="s">
        <v>106</v>
      </c>
      <c r="C187" s="222" t="s">
        <v>159</v>
      </c>
      <c r="D187" s="190" t="s">
        <v>209</v>
      </c>
      <c r="E187" s="190" t="s">
        <v>20</v>
      </c>
      <c r="F187" s="191"/>
      <c r="G187" s="191"/>
      <c r="H187" s="191"/>
      <c r="I187" s="191"/>
      <c r="J187" s="191">
        <v>2</v>
      </c>
      <c r="K187" s="191"/>
      <c r="L187" s="191"/>
      <c r="M187" s="210">
        <v>2</v>
      </c>
      <c r="N187" s="193" t="s">
        <v>7</v>
      </c>
      <c r="O187" s="90"/>
    </row>
    <row r="188" spans="1:15" ht="15.75" customHeight="1" x14ac:dyDescent="0.2">
      <c r="A188" s="194" t="s">
        <v>208</v>
      </c>
      <c r="B188" s="201" t="s">
        <v>108</v>
      </c>
      <c r="C188" s="222" t="s">
        <v>159</v>
      </c>
      <c r="D188" s="190" t="s">
        <v>209</v>
      </c>
      <c r="E188" s="190" t="s">
        <v>20</v>
      </c>
      <c r="F188" s="191"/>
      <c r="G188" s="191"/>
      <c r="H188" s="191"/>
      <c r="I188" s="191"/>
      <c r="J188" s="191">
        <v>1</v>
      </c>
      <c r="K188" s="191"/>
      <c r="L188" s="191"/>
      <c r="M188" s="210">
        <v>2</v>
      </c>
      <c r="N188" s="193" t="s">
        <v>11</v>
      </c>
      <c r="O188" s="90"/>
    </row>
    <row r="189" spans="1:15" ht="15.75" customHeight="1" x14ac:dyDescent="0.2">
      <c r="A189" s="194" t="s">
        <v>211</v>
      </c>
      <c r="B189" s="190" t="s">
        <v>109</v>
      </c>
      <c r="C189" s="223" t="s">
        <v>39</v>
      </c>
      <c r="D189" s="190" t="s">
        <v>210</v>
      </c>
      <c r="E189" s="190" t="s">
        <v>20</v>
      </c>
      <c r="F189" s="191"/>
      <c r="G189" s="191"/>
      <c r="H189" s="191"/>
      <c r="I189" s="191"/>
      <c r="J189" s="191">
        <v>2</v>
      </c>
      <c r="K189" s="191"/>
      <c r="L189" s="191"/>
      <c r="M189" s="210">
        <v>2</v>
      </c>
      <c r="N189" s="193" t="s">
        <v>7</v>
      </c>
      <c r="O189" s="90"/>
    </row>
    <row r="190" spans="1:15" ht="15.75" customHeight="1" x14ac:dyDescent="0.2">
      <c r="A190" s="189" t="s">
        <v>212</v>
      </c>
      <c r="B190" s="190" t="s">
        <v>111</v>
      </c>
      <c r="C190" s="223" t="s">
        <v>39</v>
      </c>
      <c r="D190" s="190" t="s">
        <v>210</v>
      </c>
      <c r="E190" s="190" t="s">
        <v>20</v>
      </c>
      <c r="F190" s="191"/>
      <c r="G190" s="191"/>
      <c r="H190" s="191"/>
      <c r="I190" s="191"/>
      <c r="J190" s="191">
        <v>1</v>
      </c>
      <c r="K190" s="191"/>
      <c r="L190" s="191"/>
      <c r="M190" s="210">
        <v>2</v>
      </c>
      <c r="N190" s="193" t="s">
        <v>11</v>
      </c>
      <c r="O190" s="90"/>
    </row>
    <row r="191" spans="1:15" ht="15.75" customHeight="1" x14ac:dyDescent="0.2">
      <c r="A191" s="227" t="s">
        <v>213</v>
      </c>
      <c r="B191" s="225" t="s">
        <v>112</v>
      </c>
      <c r="C191" s="225" t="s">
        <v>113</v>
      </c>
      <c r="D191" s="225"/>
      <c r="E191" s="225"/>
      <c r="F191" s="226"/>
      <c r="G191" s="226"/>
      <c r="H191" s="226">
        <v>2</v>
      </c>
      <c r="I191" s="226"/>
      <c r="J191" s="226"/>
      <c r="K191" s="226"/>
      <c r="L191" s="226"/>
      <c r="M191" s="347">
        <v>2</v>
      </c>
      <c r="N191" s="220" t="s">
        <v>7</v>
      </c>
      <c r="O191" s="90"/>
    </row>
    <row r="192" spans="1:15" ht="15.75" customHeight="1" x14ac:dyDescent="0.2">
      <c r="A192" s="227" t="s">
        <v>214</v>
      </c>
      <c r="B192" s="225" t="s">
        <v>114</v>
      </c>
      <c r="C192" s="225" t="s">
        <v>113</v>
      </c>
      <c r="D192" s="225"/>
      <c r="E192" s="225"/>
      <c r="F192" s="226"/>
      <c r="G192" s="226"/>
      <c r="H192" s="226">
        <v>1</v>
      </c>
      <c r="I192" s="226"/>
      <c r="J192" s="226"/>
      <c r="K192" s="226"/>
      <c r="L192" s="226"/>
      <c r="M192" s="347">
        <v>2</v>
      </c>
      <c r="N192" s="220" t="s">
        <v>11</v>
      </c>
      <c r="O192" s="183"/>
    </row>
    <row r="193" spans="1:15" ht="15.75" customHeight="1" x14ac:dyDescent="0.2">
      <c r="A193" s="14" t="s">
        <v>215</v>
      </c>
      <c r="B193" s="6" t="s">
        <v>115</v>
      </c>
      <c r="C193" s="6" t="s">
        <v>42</v>
      </c>
      <c r="D193" s="6"/>
      <c r="E193" s="6"/>
      <c r="F193" s="70"/>
      <c r="G193" s="70"/>
      <c r="H193" s="70"/>
      <c r="I193" s="70"/>
      <c r="J193" s="70">
        <v>2</v>
      </c>
      <c r="K193" s="70"/>
      <c r="L193" s="70"/>
      <c r="M193" s="85">
        <v>3</v>
      </c>
      <c r="N193" s="72" t="s">
        <v>7</v>
      </c>
      <c r="O193" s="90"/>
    </row>
    <row r="194" spans="1:15" ht="15.75" customHeight="1" x14ac:dyDescent="0.2">
      <c r="A194" s="14" t="s">
        <v>216</v>
      </c>
      <c r="B194" s="6" t="s">
        <v>116</v>
      </c>
      <c r="C194" s="6" t="s">
        <v>117</v>
      </c>
      <c r="D194" s="6"/>
      <c r="E194" s="6"/>
      <c r="F194" s="70"/>
      <c r="G194" s="70"/>
      <c r="H194" s="70">
        <v>2</v>
      </c>
      <c r="I194" s="70"/>
      <c r="J194" s="70"/>
      <c r="K194" s="70"/>
      <c r="L194" s="70"/>
      <c r="M194" s="85">
        <v>3</v>
      </c>
      <c r="N194" s="72" t="s">
        <v>7</v>
      </c>
      <c r="O194" s="90"/>
    </row>
    <row r="195" spans="1:15" ht="15.75" customHeight="1" thickBot="1" x14ac:dyDescent="0.25">
      <c r="A195" s="24" t="s">
        <v>270</v>
      </c>
      <c r="B195" s="25" t="s">
        <v>118</v>
      </c>
      <c r="C195" s="25" t="s">
        <v>39</v>
      </c>
      <c r="D195" s="26" t="s">
        <v>250</v>
      </c>
      <c r="E195" s="29" t="s">
        <v>20</v>
      </c>
      <c r="F195" s="110"/>
      <c r="G195" s="111"/>
      <c r="H195" s="110">
        <v>2</v>
      </c>
      <c r="I195" s="111"/>
      <c r="J195" s="111"/>
      <c r="K195" s="111"/>
      <c r="L195" s="111"/>
      <c r="M195" s="110">
        <v>3</v>
      </c>
      <c r="N195" s="112" t="s">
        <v>7</v>
      </c>
      <c r="O195" s="90"/>
    </row>
    <row r="196" spans="1:15" ht="15.75" customHeight="1" x14ac:dyDescent="0.2">
      <c r="A196" s="56" t="s">
        <v>89</v>
      </c>
      <c r="B196" s="371">
        <f>SUM(M181:M195)</f>
        <v>36</v>
      </c>
      <c r="C196" s="371"/>
      <c r="D196" s="371"/>
      <c r="E196" s="371"/>
      <c r="F196" s="371"/>
      <c r="G196" s="371"/>
      <c r="H196" s="371"/>
      <c r="I196" s="371"/>
      <c r="J196" s="371"/>
      <c r="K196" s="371"/>
      <c r="L196" s="371"/>
      <c r="M196" s="372"/>
      <c r="N196" s="7"/>
      <c r="O196" s="90"/>
    </row>
    <row r="197" spans="1:15" ht="15.75" customHeight="1" x14ac:dyDescent="0.2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90"/>
    </row>
    <row r="198" spans="1:15" ht="15.75" customHeight="1" thickBot="1" x14ac:dyDescent="0.25">
      <c r="A198" s="406" t="s">
        <v>247</v>
      </c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90"/>
    </row>
    <row r="199" spans="1:15" ht="15.75" customHeight="1" x14ac:dyDescent="0.2">
      <c r="A199" s="101"/>
      <c r="B199" s="102"/>
      <c r="C199" s="102"/>
      <c r="D199" s="102"/>
      <c r="E199" s="102"/>
      <c r="F199" s="103"/>
      <c r="G199" s="103"/>
      <c r="H199" s="103"/>
      <c r="I199" s="103"/>
      <c r="J199" s="103"/>
      <c r="K199" s="103"/>
      <c r="L199" s="103"/>
      <c r="M199" s="103"/>
      <c r="N199" s="104"/>
      <c r="O199" s="90"/>
    </row>
    <row r="200" spans="1:15" ht="15.75" customHeight="1" thickBot="1" x14ac:dyDescent="0.25">
      <c r="A200" s="105"/>
      <c r="B200" s="106" t="s">
        <v>241</v>
      </c>
      <c r="C200" s="106"/>
      <c r="D200" s="106"/>
      <c r="E200" s="106"/>
      <c r="F200" s="107"/>
      <c r="G200" s="107"/>
      <c r="H200" s="107"/>
      <c r="I200" s="107"/>
      <c r="J200" s="107"/>
      <c r="K200" s="107"/>
      <c r="L200" s="107"/>
      <c r="M200" s="107"/>
      <c r="N200" s="108"/>
      <c r="O200" s="90"/>
    </row>
    <row r="201" spans="1:15" ht="15.75" customHeight="1" x14ac:dyDescent="0.2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90"/>
    </row>
    <row r="202" spans="1:15" ht="15.75" customHeight="1" x14ac:dyDescent="0.2">
      <c r="A202" s="381" t="s">
        <v>248</v>
      </c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90"/>
    </row>
    <row r="203" spans="1:15" ht="15.75" customHeight="1" thickBot="1" x14ac:dyDescent="0.25">
      <c r="A203" s="406" t="s">
        <v>249</v>
      </c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90"/>
    </row>
    <row r="204" spans="1:15" ht="15.75" customHeight="1" x14ac:dyDescent="0.2">
      <c r="A204" s="224" t="s">
        <v>269</v>
      </c>
      <c r="B204" s="185" t="s">
        <v>119</v>
      </c>
      <c r="C204" s="185" t="s">
        <v>69</v>
      </c>
      <c r="D204" s="185" t="s">
        <v>218</v>
      </c>
      <c r="E204" s="185" t="s">
        <v>20</v>
      </c>
      <c r="F204" s="186"/>
      <c r="G204" s="186"/>
      <c r="H204" s="186"/>
      <c r="I204" s="186"/>
      <c r="J204" s="186">
        <v>2</v>
      </c>
      <c r="K204" s="186"/>
      <c r="L204" s="186"/>
      <c r="M204" s="186">
        <v>2</v>
      </c>
      <c r="N204" s="188" t="s">
        <v>7</v>
      </c>
      <c r="O204" s="90"/>
    </row>
    <row r="205" spans="1:15" ht="15.75" customHeight="1" x14ac:dyDescent="0.2">
      <c r="A205" s="199" t="s">
        <v>268</v>
      </c>
      <c r="B205" s="190" t="s">
        <v>120</v>
      </c>
      <c r="C205" s="190" t="s">
        <v>69</v>
      </c>
      <c r="D205" s="190" t="s">
        <v>218</v>
      </c>
      <c r="E205" s="190" t="s">
        <v>20</v>
      </c>
      <c r="F205" s="191"/>
      <c r="G205" s="191"/>
      <c r="H205" s="191"/>
      <c r="I205" s="191"/>
      <c r="J205" s="191">
        <v>2</v>
      </c>
      <c r="K205" s="191"/>
      <c r="L205" s="191"/>
      <c r="M205" s="191">
        <v>3</v>
      </c>
      <c r="N205" s="193" t="s">
        <v>11</v>
      </c>
      <c r="O205" s="90"/>
    </row>
    <row r="206" spans="1:15" ht="15.75" customHeight="1" x14ac:dyDescent="0.2">
      <c r="A206" s="17" t="s">
        <v>267</v>
      </c>
      <c r="B206" s="6" t="s">
        <v>121</v>
      </c>
      <c r="C206" s="6" t="s">
        <v>80</v>
      </c>
      <c r="D206" s="6" t="s">
        <v>276</v>
      </c>
      <c r="E206" s="6" t="s">
        <v>20</v>
      </c>
      <c r="F206" s="70"/>
      <c r="G206" s="70"/>
      <c r="H206" s="70"/>
      <c r="I206" s="70"/>
      <c r="J206" s="70"/>
      <c r="K206" s="70"/>
      <c r="L206" s="70">
        <v>2</v>
      </c>
      <c r="M206" s="70">
        <v>2</v>
      </c>
      <c r="N206" s="72" t="s">
        <v>7</v>
      </c>
      <c r="O206" s="90"/>
    </row>
    <row r="207" spans="1:15" ht="15.75" customHeight="1" x14ac:dyDescent="0.2">
      <c r="A207" s="17" t="s">
        <v>266</v>
      </c>
      <c r="B207" s="6" t="s">
        <v>123</v>
      </c>
      <c r="C207" s="6" t="s">
        <v>80</v>
      </c>
      <c r="D207" s="6" t="s">
        <v>276</v>
      </c>
      <c r="E207" s="6" t="s">
        <v>20</v>
      </c>
      <c r="F207" s="70"/>
      <c r="G207" s="70"/>
      <c r="H207" s="70"/>
      <c r="I207" s="70"/>
      <c r="J207" s="70"/>
      <c r="K207" s="70"/>
      <c r="L207" s="70">
        <v>1</v>
      </c>
      <c r="M207" s="70">
        <v>2</v>
      </c>
      <c r="N207" s="72" t="s">
        <v>11</v>
      </c>
      <c r="O207" s="90"/>
    </row>
    <row r="208" spans="1:15" ht="15.75" customHeight="1" x14ac:dyDescent="0.2">
      <c r="A208" s="194" t="s">
        <v>280</v>
      </c>
      <c r="B208" s="190" t="s">
        <v>124</v>
      </c>
      <c r="C208" s="190" t="s">
        <v>83</v>
      </c>
      <c r="D208" s="190" t="s">
        <v>277</v>
      </c>
      <c r="E208" s="190" t="s">
        <v>20</v>
      </c>
      <c r="F208" s="191"/>
      <c r="G208" s="191"/>
      <c r="H208" s="191"/>
      <c r="I208" s="191">
        <v>2</v>
      </c>
      <c r="J208" s="191"/>
      <c r="K208" s="191"/>
      <c r="L208" s="191"/>
      <c r="M208" s="191">
        <v>2</v>
      </c>
      <c r="N208" s="193" t="s">
        <v>7</v>
      </c>
      <c r="O208" s="90"/>
    </row>
    <row r="209" spans="1:15" ht="15.75" customHeight="1" x14ac:dyDescent="0.2">
      <c r="A209" s="194" t="s">
        <v>279</v>
      </c>
      <c r="B209" s="190" t="s">
        <v>125</v>
      </c>
      <c r="C209" s="190" t="s">
        <v>83</v>
      </c>
      <c r="D209" s="190" t="s">
        <v>277</v>
      </c>
      <c r="E209" s="190" t="s">
        <v>20</v>
      </c>
      <c r="F209" s="191"/>
      <c r="G209" s="191"/>
      <c r="H209" s="191"/>
      <c r="I209" s="191">
        <v>1</v>
      </c>
      <c r="J209" s="191"/>
      <c r="K209" s="191"/>
      <c r="L209" s="191"/>
      <c r="M209" s="191">
        <v>2</v>
      </c>
      <c r="N209" s="193" t="s">
        <v>11</v>
      </c>
      <c r="O209" s="90"/>
    </row>
    <row r="210" spans="1:15" ht="15.75" customHeight="1" x14ac:dyDescent="0.2">
      <c r="A210" s="239" t="s">
        <v>265</v>
      </c>
      <c r="B210" s="240" t="s">
        <v>126</v>
      </c>
      <c r="C210" s="240" t="s">
        <v>127</v>
      </c>
      <c r="D210" s="240" t="s">
        <v>52</v>
      </c>
      <c r="E210" s="240" t="s">
        <v>20</v>
      </c>
      <c r="F210" s="241"/>
      <c r="G210" s="241"/>
      <c r="H210" s="241"/>
      <c r="I210" s="241"/>
      <c r="J210" s="241">
        <v>1</v>
      </c>
      <c r="K210" s="241"/>
      <c r="L210" s="241"/>
      <c r="M210" s="241">
        <v>1</v>
      </c>
      <c r="N210" s="242" t="s">
        <v>7</v>
      </c>
      <c r="O210" s="90"/>
    </row>
    <row r="211" spans="1:15" ht="15.75" customHeight="1" x14ac:dyDescent="0.2">
      <c r="A211" s="239" t="s">
        <v>264</v>
      </c>
      <c r="B211" s="240" t="s">
        <v>128</v>
      </c>
      <c r="C211" s="240" t="s">
        <v>127</v>
      </c>
      <c r="D211" s="240" t="s">
        <v>52</v>
      </c>
      <c r="E211" s="240" t="s">
        <v>20</v>
      </c>
      <c r="F211" s="241"/>
      <c r="G211" s="241"/>
      <c r="H211" s="241"/>
      <c r="I211" s="241"/>
      <c r="J211" s="241">
        <v>1</v>
      </c>
      <c r="K211" s="241"/>
      <c r="L211" s="241"/>
      <c r="M211" s="241">
        <v>1</v>
      </c>
      <c r="N211" s="242" t="s">
        <v>11</v>
      </c>
      <c r="O211" s="90"/>
    </row>
    <row r="212" spans="1:15" ht="15.75" customHeight="1" x14ac:dyDescent="0.2">
      <c r="A212" s="199" t="s">
        <v>263</v>
      </c>
      <c r="B212" s="190" t="s">
        <v>129</v>
      </c>
      <c r="C212" s="190" t="s">
        <v>130</v>
      </c>
      <c r="D212" s="190" t="s">
        <v>60</v>
      </c>
      <c r="E212" s="190" t="s">
        <v>20</v>
      </c>
      <c r="F212" s="191"/>
      <c r="G212" s="191"/>
      <c r="H212" s="191"/>
      <c r="I212" s="191"/>
      <c r="J212" s="191"/>
      <c r="K212" s="191">
        <v>2</v>
      </c>
      <c r="L212" s="191"/>
      <c r="M212" s="191">
        <v>2</v>
      </c>
      <c r="N212" s="193" t="s">
        <v>7</v>
      </c>
      <c r="O212" s="90"/>
    </row>
    <row r="213" spans="1:15" ht="15.75" customHeight="1" x14ac:dyDescent="0.2">
      <c r="A213" s="199" t="s">
        <v>262</v>
      </c>
      <c r="B213" s="190" t="s">
        <v>131</v>
      </c>
      <c r="C213" s="190" t="s">
        <v>130</v>
      </c>
      <c r="D213" s="190" t="s">
        <v>60</v>
      </c>
      <c r="E213" s="190" t="s">
        <v>20</v>
      </c>
      <c r="F213" s="191"/>
      <c r="G213" s="191"/>
      <c r="H213" s="191"/>
      <c r="I213" s="191"/>
      <c r="J213" s="191"/>
      <c r="K213" s="191">
        <v>1</v>
      </c>
      <c r="L213" s="191"/>
      <c r="M213" s="191">
        <v>2</v>
      </c>
      <c r="N213" s="193" t="s">
        <v>11</v>
      </c>
      <c r="O213" s="90"/>
    </row>
    <row r="214" spans="1:15" ht="15.75" customHeight="1" x14ac:dyDescent="0.2">
      <c r="A214" s="15" t="s">
        <v>219</v>
      </c>
      <c r="B214" s="236" t="s">
        <v>285</v>
      </c>
      <c r="C214" s="236" t="s">
        <v>136</v>
      </c>
      <c r="D214" s="236"/>
      <c r="E214" s="236"/>
      <c r="F214" s="71"/>
      <c r="G214" s="71"/>
      <c r="H214" s="71"/>
      <c r="I214" s="71">
        <v>2</v>
      </c>
      <c r="J214" s="71"/>
      <c r="K214" s="71"/>
      <c r="L214" s="71"/>
      <c r="M214" s="71">
        <v>3</v>
      </c>
      <c r="N214" s="237" t="s">
        <v>7</v>
      </c>
      <c r="O214" s="90"/>
    </row>
    <row r="215" spans="1:15" ht="15.75" customHeight="1" x14ac:dyDescent="0.2">
      <c r="A215" s="14" t="s">
        <v>254</v>
      </c>
      <c r="B215" s="6" t="s">
        <v>139</v>
      </c>
      <c r="C215" s="6" t="s">
        <v>140</v>
      </c>
      <c r="D215" s="6"/>
      <c r="E215" s="6"/>
      <c r="F215" s="70"/>
      <c r="G215" s="70"/>
      <c r="H215" s="70"/>
      <c r="I215" s="70"/>
      <c r="J215" s="70">
        <v>2</v>
      </c>
      <c r="K215" s="70"/>
      <c r="L215" s="70"/>
      <c r="M215" s="84">
        <v>2</v>
      </c>
      <c r="N215" s="72" t="s">
        <v>7</v>
      </c>
      <c r="O215" s="90"/>
    </row>
    <row r="216" spans="1:15" ht="15.75" customHeight="1" x14ac:dyDescent="0.2">
      <c r="A216" s="14" t="s">
        <v>284</v>
      </c>
      <c r="B216" s="6" t="s">
        <v>141</v>
      </c>
      <c r="C216" s="6" t="s">
        <v>140</v>
      </c>
      <c r="D216" s="6"/>
      <c r="E216" s="6"/>
      <c r="F216" s="70"/>
      <c r="G216" s="70"/>
      <c r="H216" s="70"/>
      <c r="I216" s="70"/>
      <c r="J216" s="70">
        <v>1</v>
      </c>
      <c r="K216" s="70"/>
      <c r="L216" s="70"/>
      <c r="M216" s="84">
        <v>2</v>
      </c>
      <c r="N216" s="72" t="s">
        <v>11</v>
      </c>
      <c r="O216" s="90"/>
    </row>
    <row r="217" spans="1:15" ht="15.75" customHeight="1" x14ac:dyDescent="0.2">
      <c r="A217" s="199" t="s">
        <v>222</v>
      </c>
      <c r="B217" s="190" t="s">
        <v>143</v>
      </c>
      <c r="C217" s="190" t="s">
        <v>144</v>
      </c>
      <c r="D217" s="244" t="s">
        <v>206</v>
      </c>
      <c r="E217" s="190" t="s">
        <v>20</v>
      </c>
      <c r="F217" s="191"/>
      <c r="G217" s="191"/>
      <c r="H217" s="191"/>
      <c r="I217" s="191"/>
      <c r="J217" s="191">
        <v>1</v>
      </c>
      <c r="K217" s="191"/>
      <c r="L217" s="191"/>
      <c r="M217" s="191">
        <v>1</v>
      </c>
      <c r="N217" s="193" t="s">
        <v>7</v>
      </c>
      <c r="O217" s="90"/>
    </row>
    <row r="218" spans="1:15" ht="15.75" customHeight="1" x14ac:dyDescent="0.2">
      <c r="A218" s="313" t="s">
        <v>223</v>
      </c>
      <c r="B218" s="190" t="s">
        <v>145</v>
      </c>
      <c r="C218" s="190" t="s">
        <v>144</v>
      </c>
      <c r="D218" s="244" t="s">
        <v>206</v>
      </c>
      <c r="E218" s="190" t="s">
        <v>20</v>
      </c>
      <c r="F218" s="191"/>
      <c r="G218" s="191"/>
      <c r="H218" s="191"/>
      <c r="I218" s="191"/>
      <c r="J218" s="191">
        <v>2</v>
      </c>
      <c r="K218" s="191"/>
      <c r="L218" s="191"/>
      <c r="M218" s="191">
        <v>2</v>
      </c>
      <c r="N218" s="193" t="s">
        <v>11</v>
      </c>
      <c r="O218" s="90"/>
    </row>
    <row r="219" spans="1:15" ht="15.75" customHeight="1" x14ac:dyDescent="0.2">
      <c r="A219" s="14" t="s">
        <v>225</v>
      </c>
      <c r="B219" s="6" t="s">
        <v>146</v>
      </c>
      <c r="C219" s="6" t="s">
        <v>144</v>
      </c>
      <c r="D219" s="6" t="s">
        <v>224</v>
      </c>
      <c r="E219" s="6" t="s">
        <v>20</v>
      </c>
      <c r="F219" s="70"/>
      <c r="G219" s="70"/>
      <c r="H219" s="70"/>
      <c r="I219" s="70"/>
      <c r="J219" s="70"/>
      <c r="K219" s="70">
        <v>1</v>
      </c>
      <c r="L219" s="70"/>
      <c r="M219" s="70">
        <v>1</v>
      </c>
      <c r="N219" s="72" t="s">
        <v>7</v>
      </c>
      <c r="O219" s="90"/>
    </row>
    <row r="220" spans="1:15" ht="15.75" customHeight="1" x14ac:dyDescent="0.2">
      <c r="A220" s="14" t="s">
        <v>226</v>
      </c>
      <c r="B220" s="6" t="s">
        <v>147</v>
      </c>
      <c r="C220" s="6" t="s">
        <v>144</v>
      </c>
      <c r="D220" s="6" t="s">
        <v>224</v>
      </c>
      <c r="E220" s="6" t="s">
        <v>20</v>
      </c>
      <c r="F220" s="70"/>
      <c r="G220" s="70"/>
      <c r="H220" s="70"/>
      <c r="I220" s="70"/>
      <c r="J220" s="70"/>
      <c r="K220" s="70">
        <v>2</v>
      </c>
      <c r="L220" s="70"/>
      <c r="M220" s="70">
        <v>2</v>
      </c>
      <c r="N220" s="72" t="s">
        <v>11</v>
      </c>
      <c r="O220" s="90"/>
    </row>
    <row r="221" spans="1:15" ht="15.75" customHeight="1" x14ac:dyDescent="0.2">
      <c r="A221" s="14" t="s">
        <v>227</v>
      </c>
      <c r="B221" s="6" t="s">
        <v>148</v>
      </c>
      <c r="C221" s="6" t="s">
        <v>66</v>
      </c>
      <c r="D221" s="113" t="s">
        <v>204</v>
      </c>
      <c r="E221" s="6" t="s">
        <v>20</v>
      </c>
      <c r="F221" s="70"/>
      <c r="G221" s="70"/>
      <c r="H221" s="70"/>
      <c r="I221" s="70">
        <v>1</v>
      </c>
      <c r="J221" s="70"/>
      <c r="K221" s="70"/>
      <c r="L221" s="70"/>
      <c r="M221" s="70">
        <v>1</v>
      </c>
      <c r="N221" s="72" t="s">
        <v>7</v>
      </c>
      <c r="O221" s="90"/>
    </row>
    <row r="222" spans="1:15" ht="15.75" customHeight="1" x14ac:dyDescent="0.2">
      <c r="A222" s="114" t="s">
        <v>228</v>
      </c>
      <c r="B222" s="6" t="s">
        <v>149</v>
      </c>
      <c r="C222" s="6" t="s">
        <v>66</v>
      </c>
      <c r="D222" s="113" t="s">
        <v>204</v>
      </c>
      <c r="E222" s="6" t="s">
        <v>20</v>
      </c>
      <c r="F222" s="70"/>
      <c r="G222" s="70"/>
      <c r="H222" s="70"/>
      <c r="I222" s="70">
        <v>2</v>
      </c>
      <c r="J222" s="70"/>
      <c r="K222" s="70"/>
      <c r="L222" s="70"/>
      <c r="M222" s="70">
        <v>2</v>
      </c>
      <c r="N222" s="72" t="s">
        <v>11</v>
      </c>
      <c r="O222" s="90"/>
    </row>
    <row r="223" spans="1:15" ht="15.75" customHeight="1" x14ac:dyDescent="0.2">
      <c r="A223" s="232" t="s">
        <v>229</v>
      </c>
      <c r="B223" s="233" t="s">
        <v>150</v>
      </c>
      <c r="C223" s="233" t="s">
        <v>151</v>
      </c>
      <c r="D223" s="233" t="s">
        <v>279</v>
      </c>
      <c r="E223" s="233" t="s">
        <v>20</v>
      </c>
      <c r="F223" s="234"/>
      <c r="G223" s="234"/>
      <c r="H223" s="234"/>
      <c r="I223" s="234"/>
      <c r="J223" s="234">
        <v>1</v>
      </c>
      <c r="K223" s="234"/>
      <c r="L223" s="234"/>
      <c r="M223" s="234">
        <v>1</v>
      </c>
      <c r="N223" s="235" t="s">
        <v>7</v>
      </c>
      <c r="O223" s="90"/>
    </row>
    <row r="224" spans="1:15" ht="15.75" customHeight="1" x14ac:dyDescent="0.2">
      <c r="A224" s="232" t="s">
        <v>230</v>
      </c>
      <c r="B224" s="233" t="s">
        <v>152</v>
      </c>
      <c r="C224" s="233" t="s">
        <v>151</v>
      </c>
      <c r="D224" s="233"/>
      <c r="E224" s="233" t="s">
        <v>20</v>
      </c>
      <c r="F224" s="234"/>
      <c r="G224" s="234"/>
      <c r="H224" s="234"/>
      <c r="I224" s="234"/>
      <c r="J224" s="234">
        <v>2</v>
      </c>
      <c r="K224" s="234"/>
      <c r="L224" s="234"/>
      <c r="M224" s="234">
        <v>2</v>
      </c>
      <c r="N224" s="235" t="s">
        <v>11</v>
      </c>
      <c r="O224" s="90"/>
    </row>
    <row r="225" spans="1:15" ht="15.75" customHeight="1" x14ac:dyDescent="0.2">
      <c r="A225" s="232" t="s">
        <v>231</v>
      </c>
      <c r="B225" s="233" t="s">
        <v>153</v>
      </c>
      <c r="C225" s="233" t="s">
        <v>63</v>
      </c>
      <c r="D225" s="233" t="s">
        <v>232</v>
      </c>
      <c r="E225" s="233" t="s">
        <v>20</v>
      </c>
      <c r="F225" s="234"/>
      <c r="G225" s="234"/>
      <c r="H225" s="234"/>
      <c r="I225" s="234"/>
      <c r="J225" s="234">
        <v>2</v>
      </c>
      <c r="K225" s="234"/>
      <c r="L225" s="234"/>
      <c r="M225" s="234">
        <v>3</v>
      </c>
      <c r="N225" s="235" t="s">
        <v>7</v>
      </c>
      <c r="O225" s="90"/>
    </row>
    <row r="226" spans="1:15" ht="15.75" customHeight="1" x14ac:dyDescent="0.2">
      <c r="A226" s="14" t="s">
        <v>233</v>
      </c>
      <c r="B226" s="6" t="s">
        <v>154</v>
      </c>
      <c r="C226" s="6" t="s">
        <v>80</v>
      </c>
      <c r="D226" s="6" t="s">
        <v>276</v>
      </c>
      <c r="E226" s="6" t="s">
        <v>20</v>
      </c>
      <c r="F226" s="70"/>
      <c r="G226" s="70"/>
      <c r="H226" s="70"/>
      <c r="I226" s="70"/>
      <c r="J226" s="70"/>
      <c r="K226" s="70">
        <v>2</v>
      </c>
      <c r="L226" s="70"/>
      <c r="M226" s="84">
        <v>2</v>
      </c>
      <c r="N226" s="72" t="s">
        <v>7</v>
      </c>
      <c r="O226" s="90"/>
    </row>
    <row r="227" spans="1:15" ht="15.75" customHeight="1" x14ac:dyDescent="0.2">
      <c r="A227" s="14" t="s">
        <v>234</v>
      </c>
      <c r="B227" s="6" t="s">
        <v>155</v>
      </c>
      <c r="C227" s="6" t="s">
        <v>80</v>
      </c>
      <c r="D227" s="6" t="s">
        <v>276</v>
      </c>
      <c r="E227" s="6" t="s">
        <v>20</v>
      </c>
      <c r="F227" s="70"/>
      <c r="G227" s="70"/>
      <c r="H227" s="70"/>
      <c r="I227" s="70"/>
      <c r="J227" s="70"/>
      <c r="K227" s="70">
        <v>2</v>
      </c>
      <c r="L227" s="70"/>
      <c r="M227" s="84">
        <v>3</v>
      </c>
      <c r="N227" s="72" t="s">
        <v>11</v>
      </c>
      <c r="O227" s="90"/>
    </row>
    <row r="228" spans="1:15" ht="15.75" customHeight="1" x14ac:dyDescent="0.2">
      <c r="A228" s="305" t="s">
        <v>235</v>
      </c>
      <c r="B228" s="306" t="s">
        <v>156</v>
      </c>
      <c r="C228" s="306" t="s">
        <v>76</v>
      </c>
      <c r="D228" s="306" t="s">
        <v>276</v>
      </c>
      <c r="E228" s="306" t="s">
        <v>20</v>
      </c>
      <c r="F228" s="307"/>
      <c r="G228" s="307"/>
      <c r="H228" s="307"/>
      <c r="I228" s="307"/>
      <c r="J228" s="307"/>
      <c r="K228" s="307"/>
      <c r="L228" s="307">
        <v>1</v>
      </c>
      <c r="M228" s="307">
        <v>1</v>
      </c>
      <c r="N228" s="308" t="s">
        <v>7</v>
      </c>
      <c r="O228" s="90"/>
    </row>
    <row r="229" spans="1:15" ht="15.75" customHeight="1" thickBot="1" x14ac:dyDescent="0.25">
      <c r="A229" s="309" t="s">
        <v>236</v>
      </c>
      <c r="B229" s="310" t="s">
        <v>157</v>
      </c>
      <c r="C229" s="310" t="s">
        <v>76</v>
      </c>
      <c r="D229" s="310" t="s">
        <v>276</v>
      </c>
      <c r="E229" s="310" t="s">
        <v>20</v>
      </c>
      <c r="F229" s="311"/>
      <c r="G229" s="311"/>
      <c r="H229" s="311"/>
      <c r="I229" s="311"/>
      <c r="J229" s="311"/>
      <c r="K229" s="311"/>
      <c r="L229" s="311">
        <v>2</v>
      </c>
      <c r="M229" s="311">
        <v>2</v>
      </c>
      <c r="N229" s="312" t="s">
        <v>11</v>
      </c>
      <c r="O229" s="90"/>
    </row>
    <row r="230" spans="1:15" ht="15.75" customHeight="1" x14ac:dyDescent="0.2">
      <c r="A230" s="27" t="s">
        <v>89</v>
      </c>
      <c r="B230" s="412">
        <f>SUM(M204:M229)</f>
        <v>49</v>
      </c>
      <c r="C230" s="413"/>
      <c r="D230" s="413"/>
      <c r="E230" s="413"/>
      <c r="F230" s="413"/>
      <c r="G230" s="413"/>
      <c r="H230" s="413"/>
      <c r="I230" s="413"/>
      <c r="J230" s="413"/>
      <c r="K230" s="413"/>
      <c r="L230" s="413"/>
      <c r="M230" s="414"/>
      <c r="N230" s="7"/>
      <c r="O230" s="90"/>
    </row>
    <row r="231" spans="1:15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5"/>
      <c r="O231" s="90"/>
    </row>
    <row r="232" spans="1:15" ht="15.75" customHeight="1" thickBot="1" x14ac:dyDescent="0.25">
      <c r="A232" s="406" t="s">
        <v>295</v>
      </c>
      <c r="B232" s="406"/>
      <c r="C232" s="406"/>
      <c r="D232" s="406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90"/>
    </row>
    <row r="233" spans="1:15" ht="15.75" customHeight="1" x14ac:dyDescent="0.2">
      <c r="A233" s="101"/>
      <c r="B233" s="102"/>
      <c r="C233" s="102"/>
      <c r="D233" s="102"/>
      <c r="E233" s="102"/>
      <c r="F233" s="103"/>
      <c r="G233" s="103"/>
      <c r="H233" s="103"/>
      <c r="I233" s="103"/>
      <c r="J233" s="103"/>
      <c r="K233" s="103"/>
      <c r="L233" s="103"/>
      <c r="M233" s="103"/>
      <c r="N233" s="104"/>
      <c r="O233" s="90"/>
    </row>
    <row r="234" spans="1:15" ht="15.75" customHeight="1" thickBot="1" x14ac:dyDescent="0.25">
      <c r="A234" s="105"/>
      <c r="B234" s="106" t="s">
        <v>241</v>
      </c>
      <c r="C234" s="106"/>
      <c r="D234" s="106"/>
      <c r="E234" s="106"/>
      <c r="F234" s="107"/>
      <c r="G234" s="107"/>
      <c r="H234" s="107"/>
      <c r="I234" s="107"/>
      <c r="J234" s="107"/>
      <c r="K234" s="107"/>
      <c r="L234" s="107"/>
      <c r="M234" s="107"/>
      <c r="N234" s="108"/>
      <c r="O234" s="90"/>
    </row>
    <row r="235" spans="1:15" ht="15.75" customHeight="1" x14ac:dyDescent="0.2">
      <c r="A235" s="98"/>
      <c r="B235" s="99"/>
      <c r="C235" s="99"/>
      <c r="D235" s="99"/>
      <c r="E235" s="99"/>
      <c r="F235" s="100"/>
      <c r="G235" s="100"/>
      <c r="H235" s="100"/>
      <c r="I235" s="100"/>
      <c r="J235" s="100"/>
      <c r="K235" s="100"/>
      <c r="L235" s="100"/>
      <c r="M235" s="100"/>
      <c r="N235" s="80"/>
      <c r="O235" s="90"/>
    </row>
    <row r="236" spans="1:15" ht="15.75" customHeight="1" x14ac:dyDescent="0.2">
      <c r="A236" s="407" t="s">
        <v>296</v>
      </c>
      <c r="B236" s="407"/>
      <c r="C236" s="407"/>
      <c r="D236" s="407"/>
      <c r="E236" s="407"/>
      <c r="F236" s="407"/>
      <c r="G236" s="407"/>
      <c r="H236" s="407"/>
      <c r="I236" s="407"/>
      <c r="J236" s="407"/>
      <c r="K236" s="407"/>
      <c r="L236" s="407"/>
      <c r="M236" s="407"/>
      <c r="N236" s="407"/>
      <c r="O236" s="90"/>
    </row>
    <row r="237" spans="1:15" ht="15.75" customHeight="1" x14ac:dyDescent="0.2">
      <c r="A237" s="381" t="s">
        <v>297</v>
      </c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90"/>
    </row>
    <row r="238" spans="1:15" ht="15.75" customHeight="1" thickBot="1" x14ac:dyDescent="0.25">
      <c r="A238" s="406" t="s">
        <v>304</v>
      </c>
      <c r="B238" s="406"/>
      <c r="C238" s="406"/>
      <c r="D238" s="406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90"/>
    </row>
    <row r="239" spans="1:15" ht="15.75" customHeight="1" x14ac:dyDescent="0.2">
      <c r="A239" s="184" t="s">
        <v>207</v>
      </c>
      <c r="B239" s="215" t="s">
        <v>106</v>
      </c>
      <c r="C239" s="255" t="s">
        <v>159</v>
      </c>
      <c r="D239" s="215" t="s">
        <v>209</v>
      </c>
      <c r="E239" s="215" t="s">
        <v>20</v>
      </c>
      <c r="F239" s="216"/>
      <c r="G239" s="216"/>
      <c r="H239" s="216"/>
      <c r="I239" s="216"/>
      <c r="J239" s="216">
        <v>2</v>
      </c>
      <c r="K239" s="216"/>
      <c r="L239" s="216"/>
      <c r="M239" s="221">
        <v>2</v>
      </c>
      <c r="N239" s="250" t="s">
        <v>7</v>
      </c>
      <c r="O239" s="90"/>
    </row>
    <row r="240" spans="1:15" ht="15.75" customHeight="1" x14ac:dyDescent="0.2">
      <c r="A240" s="194" t="s">
        <v>208</v>
      </c>
      <c r="B240" s="201" t="s">
        <v>108</v>
      </c>
      <c r="C240" s="222" t="s">
        <v>159</v>
      </c>
      <c r="D240" s="201" t="s">
        <v>209</v>
      </c>
      <c r="E240" s="201" t="s">
        <v>20</v>
      </c>
      <c r="F240" s="209"/>
      <c r="G240" s="209"/>
      <c r="H240" s="209"/>
      <c r="I240" s="209"/>
      <c r="J240" s="209">
        <v>1</v>
      </c>
      <c r="K240" s="209"/>
      <c r="L240" s="209"/>
      <c r="M240" s="210">
        <v>2</v>
      </c>
      <c r="N240" s="211" t="s">
        <v>11</v>
      </c>
      <c r="O240" s="90"/>
    </row>
    <row r="241" spans="1:15" ht="15.75" customHeight="1" x14ac:dyDescent="0.2">
      <c r="A241" s="194" t="s">
        <v>211</v>
      </c>
      <c r="B241" s="201" t="s">
        <v>109</v>
      </c>
      <c r="C241" s="212" t="s">
        <v>39</v>
      </c>
      <c r="D241" s="201" t="s">
        <v>210</v>
      </c>
      <c r="E241" s="201" t="s">
        <v>20</v>
      </c>
      <c r="F241" s="209"/>
      <c r="G241" s="209"/>
      <c r="H241" s="209"/>
      <c r="I241" s="209"/>
      <c r="J241" s="209">
        <v>2</v>
      </c>
      <c r="K241" s="209"/>
      <c r="L241" s="209"/>
      <c r="M241" s="210">
        <v>2</v>
      </c>
      <c r="N241" s="211" t="s">
        <v>7</v>
      </c>
      <c r="O241" s="90"/>
    </row>
    <row r="242" spans="1:15" ht="15.75" customHeight="1" thickBot="1" x14ac:dyDescent="0.25">
      <c r="A242" s="256" t="s">
        <v>212</v>
      </c>
      <c r="B242" s="264" t="s">
        <v>111</v>
      </c>
      <c r="C242" s="265" t="s">
        <v>39</v>
      </c>
      <c r="D242" s="264" t="s">
        <v>210</v>
      </c>
      <c r="E242" s="264" t="s">
        <v>20</v>
      </c>
      <c r="F242" s="266"/>
      <c r="G242" s="266"/>
      <c r="H242" s="266"/>
      <c r="I242" s="266"/>
      <c r="J242" s="266">
        <v>1</v>
      </c>
      <c r="K242" s="266"/>
      <c r="L242" s="266"/>
      <c r="M242" s="260">
        <v>2</v>
      </c>
      <c r="N242" s="267" t="s">
        <v>11</v>
      </c>
      <c r="O242" s="90"/>
    </row>
    <row r="243" spans="1:15" ht="15.75" customHeight="1" x14ac:dyDescent="0.2">
      <c r="A243" s="115" t="s">
        <v>89</v>
      </c>
      <c r="B243" s="409">
        <v>8</v>
      </c>
      <c r="C243" s="410"/>
      <c r="D243" s="410"/>
      <c r="E243" s="410"/>
      <c r="F243" s="410"/>
      <c r="G243" s="410"/>
      <c r="H243" s="410"/>
      <c r="I243" s="410"/>
      <c r="J243" s="410"/>
      <c r="K243" s="410"/>
      <c r="L243" s="410"/>
      <c r="M243" s="411"/>
      <c r="N243" s="116"/>
      <c r="O243" s="90"/>
    </row>
    <row r="244" spans="1:15" ht="15.75" customHeight="1" x14ac:dyDescent="0.2">
      <c r="A244" s="117"/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82"/>
      <c r="O244" s="90"/>
    </row>
    <row r="245" spans="1:15" ht="15.75" customHeight="1" thickBot="1" x14ac:dyDescent="0.25">
      <c r="A245" s="406" t="s">
        <v>298</v>
      </c>
      <c r="B245" s="406"/>
      <c r="C245" s="406"/>
      <c r="D245" s="406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90"/>
    </row>
    <row r="246" spans="1:15" ht="15.75" customHeight="1" x14ac:dyDescent="0.2">
      <c r="A246" s="184" t="s">
        <v>90</v>
      </c>
      <c r="B246" s="185" t="s">
        <v>91</v>
      </c>
      <c r="C246" s="185" t="s">
        <v>10</v>
      </c>
      <c r="D246" s="185" t="s">
        <v>40</v>
      </c>
      <c r="E246" s="185" t="s">
        <v>20</v>
      </c>
      <c r="F246" s="186"/>
      <c r="G246" s="186"/>
      <c r="H246" s="186">
        <v>2</v>
      </c>
      <c r="I246" s="186"/>
      <c r="J246" s="186"/>
      <c r="K246" s="186"/>
      <c r="L246" s="186"/>
      <c r="M246" s="221">
        <v>2</v>
      </c>
      <c r="N246" s="188" t="s">
        <v>7</v>
      </c>
      <c r="O246" s="90"/>
    </row>
    <row r="247" spans="1:15" ht="15.75" customHeight="1" x14ac:dyDescent="0.2">
      <c r="A247" s="194" t="s">
        <v>92</v>
      </c>
      <c r="B247" s="190" t="s">
        <v>93</v>
      </c>
      <c r="C247" s="190" t="s">
        <v>10</v>
      </c>
      <c r="D247" s="190" t="s">
        <v>40</v>
      </c>
      <c r="E247" s="190" t="s">
        <v>20</v>
      </c>
      <c r="F247" s="191"/>
      <c r="G247" s="191"/>
      <c r="H247" s="191">
        <v>2</v>
      </c>
      <c r="I247" s="191"/>
      <c r="J247" s="191"/>
      <c r="K247" s="191"/>
      <c r="L247" s="191"/>
      <c r="M247" s="210">
        <v>3</v>
      </c>
      <c r="N247" s="193" t="s">
        <v>11</v>
      </c>
      <c r="O247" s="90"/>
    </row>
    <row r="248" spans="1:15" ht="15.75" customHeight="1" x14ac:dyDescent="0.2">
      <c r="A248" s="14" t="s">
        <v>94</v>
      </c>
      <c r="B248" s="6" t="s">
        <v>95</v>
      </c>
      <c r="C248" s="6" t="s">
        <v>96</v>
      </c>
      <c r="D248" s="6" t="s">
        <v>97</v>
      </c>
      <c r="E248" s="6" t="s">
        <v>20</v>
      </c>
      <c r="F248" s="70"/>
      <c r="G248" s="70"/>
      <c r="H248" s="70"/>
      <c r="I248" s="70">
        <v>2</v>
      </c>
      <c r="J248" s="70"/>
      <c r="K248" s="70"/>
      <c r="L248" s="70"/>
      <c r="M248" s="85">
        <v>2</v>
      </c>
      <c r="N248" s="72" t="s">
        <v>7</v>
      </c>
      <c r="O248" s="90"/>
    </row>
    <row r="249" spans="1:15" ht="15.75" customHeight="1" x14ac:dyDescent="0.2">
      <c r="A249" s="14" t="s">
        <v>98</v>
      </c>
      <c r="B249" s="6" t="s">
        <v>99</v>
      </c>
      <c r="C249" s="6" t="s">
        <v>96</v>
      </c>
      <c r="D249" s="6" t="s">
        <v>97</v>
      </c>
      <c r="E249" s="6" t="s">
        <v>20</v>
      </c>
      <c r="F249" s="70"/>
      <c r="G249" s="70"/>
      <c r="H249" s="70"/>
      <c r="I249" s="70">
        <v>2</v>
      </c>
      <c r="J249" s="70"/>
      <c r="K249" s="70"/>
      <c r="L249" s="70"/>
      <c r="M249" s="85">
        <v>3</v>
      </c>
      <c r="N249" s="72" t="s">
        <v>11</v>
      </c>
      <c r="O249" s="90"/>
    </row>
    <row r="250" spans="1:15" ht="15.75" customHeight="1" x14ac:dyDescent="0.2">
      <c r="A250" s="14" t="s">
        <v>100</v>
      </c>
      <c r="B250" s="6" t="s">
        <v>101</v>
      </c>
      <c r="C250" s="6" t="s">
        <v>165</v>
      </c>
      <c r="D250" s="6" t="s">
        <v>103</v>
      </c>
      <c r="E250" s="6" t="s">
        <v>20</v>
      </c>
      <c r="F250" s="70"/>
      <c r="G250" s="70"/>
      <c r="H250" s="70"/>
      <c r="I250" s="70">
        <v>2</v>
      </c>
      <c r="J250" s="70"/>
      <c r="K250" s="70"/>
      <c r="L250" s="70"/>
      <c r="M250" s="85">
        <v>2</v>
      </c>
      <c r="N250" s="72" t="s">
        <v>7</v>
      </c>
      <c r="O250" s="90"/>
    </row>
    <row r="251" spans="1:15" ht="15.75" customHeight="1" x14ac:dyDescent="0.2">
      <c r="A251" s="14" t="s">
        <v>104</v>
      </c>
      <c r="B251" s="6" t="s">
        <v>105</v>
      </c>
      <c r="C251" s="6" t="s">
        <v>165</v>
      </c>
      <c r="D251" s="6" t="s">
        <v>103</v>
      </c>
      <c r="E251" s="6" t="s">
        <v>20</v>
      </c>
      <c r="F251" s="70"/>
      <c r="G251" s="70"/>
      <c r="H251" s="70"/>
      <c r="I251" s="70">
        <v>2</v>
      </c>
      <c r="J251" s="70"/>
      <c r="K251" s="70"/>
      <c r="L251" s="70"/>
      <c r="M251" s="85">
        <v>3</v>
      </c>
      <c r="N251" s="72" t="s">
        <v>11</v>
      </c>
      <c r="O251" s="90"/>
    </row>
    <row r="252" spans="1:15" ht="15.75" customHeight="1" x14ac:dyDescent="0.2">
      <c r="A252" s="14" t="s">
        <v>213</v>
      </c>
      <c r="B252" s="6" t="s">
        <v>112</v>
      </c>
      <c r="C252" s="6" t="s">
        <v>113</v>
      </c>
      <c r="D252" s="6"/>
      <c r="E252" s="6"/>
      <c r="F252" s="70"/>
      <c r="G252" s="70"/>
      <c r="H252" s="70">
        <v>2</v>
      </c>
      <c r="I252" s="70"/>
      <c r="J252" s="70"/>
      <c r="K252" s="70"/>
      <c r="L252" s="70"/>
      <c r="M252" s="85">
        <v>2</v>
      </c>
      <c r="N252" s="72" t="s">
        <v>7</v>
      </c>
      <c r="O252" s="90"/>
    </row>
    <row r="253" spans="1:15" ht="15.75" customHeight="1" x14ac:dyDescent="0.2">
      <c r="A253" s="14" t="s">
        <v>214</v>
      </c>
      <c r="B253" s="6" t="s">
        <v>114</v>
      </c>
      <c r="C253" s="6" t="s">
        <v>113</v>
      </c>
      <c r="D253" s="6"/>
      <c r="E253" s="6"/>
      <c r="F253" s="70"/>
      <c r="G253" s="70"/>
      <c r="H253" s="70">
        <v>1</v>
      </c>
      <c r="I253" s="70"/>
      <c r="J253" s="70"/>
      <c r="K253" s="70"/>
      <c r="L253" s="70"/>
      <c r="M253" s="85">
        <v>2</v>
      </c>
      <c r="N253" s="72" t="s">
        <v>11</v>
      </c>
      <c r="O253" s="90"/>
    </row>
    <row r="254" spans="1:15" ht="15.75" customHeight="1" x14ac:dyDescent="0.2">
      <c r="A254" s="31" t="s">
        <v>215</v>
      </c>
      <c r="B254" s="6" t="s">
        <v>115</v>
      </c>
      <c r="C254" s="6" t="s">
        <v>42</v>
      </c>
      <c r="D254" s="6"/>
      <c r="E254" s="6"/>
      <c r="F254" s="70"/>
      <c r="G254" s="70"/>
      <c r="H254" s="70"/>
      <c r="I254" s="70"/>
      <c r="J254" s="70">
        <v>2</v>
      </c>
      <c r="K254" s="70"/>
      <c r="L254" s="70"/>
      <c r="M254" s="89">
        <v>3</v>
      </c>
      <c r="N254" s="72" t="s">
        <v>7</v>
      </c>
      <c r="O254" s="90"/>
    </row>
    <row r="255" spans="1:15" ht="15.75" customHeight="1" x14ac:dyDescent="0.2">
      <c r="A255" s="31" t="s">
        <v>216</v>
      </c>
      <c r="B255" s="6" t="s">
        <v>116</v>
      </c>
      <c r="C255" s="6" t="s">
        <v>117</v>
      </c>
      <c r="D255" s="6"/>
      <c r="E255" s="6"/>
      <c r="F255" s="70"/>
      <c r="G255" s="70"/>
      <c r="H255" s="70">
        <v>2</v>
      </c>
      <c r="I255" s="70"/>
      <c r="J255" s="70"/>
      <c r="K255" s="70"/>
      <c r="L255" s="70"/>
      <c r="M255" s="89">
        <v>3</v>
      </c>
      <c r="N255" s="72" t="s">
        <v>7</v>
      </c>
      <c r="O255" s="90"/>
    </row>
    <row r="256" spans="1:15" ht="18.75" customHeight="1" thickBot="1" x14ac:dyDescent="0.25">
      <c r="A256" s="32" t="s">
        <v>270</v>
      </c>
      <c r="B256" s="25" t="s">
        <v>118</v>
      </c>
      <c r="C256" s="25" t="s">
        <v>39</v>
      </c>
      <c r="D256" s="26" t="s">
        <v>250</v>
      </c>
      <c r="E256" s="29" t="s">
        <v>20</v>
      </c>
      <c r="F256" s="110">
        <v>2</v>
      </c>
      <c r="G256" s="111"/>
      <c r="H256" s="111"/>
      <c r="I256" s="111"/>
      <c r="J256" s="111"/>
      <c r="K256" s="111"/>
      <c r="L256" s="111"/>
      <c r="M256" s="91">
        <v>3</v>
      </c>
      <c r="N256" s="112" t="s">
        <v>7</v>
      </c>
      <c r="O256" s="90"/>
    </row>
    <row r="257" spans="1:15" ht="15.75" customHeight="1" x14ac:dyDescent="0.2">
      <c r="A257" s="118" t="s">
        <v>89</v>
      </c>
      <c r="B257" s="119"/>
      <c r="C257" s="119"/>
      <c r="D257" s="119"/>
      <c r="E257" s="119"/>
      <c r="F257" s="120"/>
      <c r="G257" s="120"/>
      <c r="H257" s="120"/>
      <c r="I257" s="120"/>
      <c r="J257" s="120"/>
      <c r="K257" s="120"/>
      <c r="L257" s="120"/>
      <c r="M257" s="121">
        <f>SUM(M246:M256)</f>
        <v>28</v>
      </c>
      <c r="N257" s="116"/>
      <c r="O257" s="90"/>
    </row>
    <row r="258" spans="1:15" ht="15.75" customHeight="1" x14ac:dyDescent="0.2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90"/>
    </row>
    <row r="259" spans="1:15" ht="15.75" customHeight="1" x14ac:dyDescent="0.2">
      <c r="A259" s="381" t="s">
        <v>301</v>
      </c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90"/>
    </row>
    <row r="260" spans="1:15" ht="15.75" customHeight="1" thickBot="1" x14ac:dyDescent="0.25">
      <c r="A260" s="406" t="s">
        <v>302</v>
      </c>
      <c r="B260" s="406"/>
      <c r="C260" s="406"/>
      <c r="D260" s="406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90"/>
    </row>
    <row r="261" spans="1:15" ht="15.75" customHeight="1" x14ac:dyDescent="0.2">
      <c r="A261" s="22" t="s">
        <v>267</v>
      </c>
      <c r="B261" s="33" t="s">
        <v>121</v>
      </c>
      <c r="C261" s="33" t="s">
        <v>80</v>
      </c>
      <c r="D261" s="33" t="s">
        <v>122</v>
      </c>
      <c r="E261" s="33" t="s">
        <v>20</v>
      </c>
      <c r="F261" s="66"/>
      <c r="G261" s="66"/>
      <c r="H261" s="66"/>
      <c r="I261" s="66"/>
      <c r="J261" s="66"/>
      <c r="K261" s="66"/>
      <c r="L261" s="66">
        <v>2</v>
      </c>
      <c r="M261" s="66">
        <v>2</v>
      </c>
      <c r="N261" s="68" t="s">
        <v>7</v>
      </c>
      <c r="O261" s="90"/>
    </row>
    <row r="262" spans="1:15" ht="15.75" customHeight="1" x14ac:dyDescent="0.2">
      <c r="A262" s="17" t="s">
        <v>266</v>
      </c>
      <c r="B262" s="6" t="s">
        <v>123</v>
      </c>
      <c r="C262" s="6" t="s">
        <v>80</v>
      </c>
      <c r="D262" s="6" t="s">
        <v>122</v>
      </c>
      <c r="E262" s="6" t="s">
        <v>20</v>
      </c>
      <c r="F262" s="70"/>
      <c r="G262" s="70"/>
      <c r="H262" s="70"/>
      <c r="I262" s="70"/>
      <c r="J262" s="70"/>
      <c r="K262" s="70"/>
      <c r="L262" s="70">
        <v>1</v>
      </c>
      <c r="M262" s="70">
        <v>2</v>
      </c>
      <c r="N262" s="72" t="s">
        <v>11</v>
      </c>
      <c r="O262" s="90"/>
    </row>
    <row r="263" spans="1:15" ht="15.75" customHeight="1" x14ac:dyDescent="0.2">
      <c r="A263" s="217" t="s">
        <v>263</v>
      </c>
      <c r="B263" s="225" t="s">
        <v>129</v>
      </c>
      <c r="C263" s="225" t="s">
        <v>130</v>
      </c>
      <c r="D263" s="225" t="s">
        <v>60</v>
      </c>
      <c r="E263" s="225" t="s">
        <v>20</v>
      </c>
      <c r="F263" s="226"/>
      <c r="G263" s="226"/>
      <c r="H263" s="226"/>
      <c r="I263" s="226"/>
      <c r="J263" s="226"/>
      <c r="K263" s="226">
        <v>2</v>
      </c>
      <c r="L263" s="226"/>
      <c r="M263" s="226">
        <v>2</v>
      </c>
      <c r="N263" s="220" t="s">
        <v>7</v>
      </c>
      <c r="O263" s="90"/>
    </row>
    <row r="264" spans="1:15" ht="15.75" customHeight="1" x14ac:dyDescent="0.2">
      <c r="A264" s="217" t="s">
        <v>262</v>
      </c>
      <c r="B264" s="225" t="s">
        <v>131</v>
      </c>
      <c r="C264" s="225" t="s">
        <v>130</v>
      </c>
      <c r="D264" s="225" t="s">
        <v>60</v>
      </c>
      <c r="E264" s="225" t="s">
        <v>20</v>
      </c>
      <c r="F264" s="226"/>
      <c r="G264" s="226"/>
      <c r="H264" s="226"/>
      <c r="I264" s="226"/>
      <c r="J264" s="226"/>
      <c r="K264" s="226">
        <v>1</v>
      </c>
      <c r="L264" s="226"/>
      <c r="M264" s="226">
        <v>2</v>
      </c>
      <c r="N264" s="220" t="s">
        <v>11</v>
      </c>
      <c r="O264" s="90"/>
    </row>
    <row r="265" spans="1:15" ht="15.75" customHeight="1" x14ac:dyDescent="0.2">
      <c r="A265" s="17" t="s">
        <v>261</v>
      </c>
      <c r="B265" s="6" t="s">
        <v>132</v>
      </c>
      <c r="C265" s="6" t="s">
        <v>130</v>
      </c>
      <c r="D265" s="6" t="s">
        <v>60</v>
      </c>
      <c r="E265" s="6" t="s">
        <v>20</v>
      </c>
      <c r="F265" s="70"/>
      <c r="G265" s="70"/>
      <c r="H265" s="70"/>
      <c r="I265" s="70">
        <v>2</v>
      </c>
      <c r="J265" s="70"/>
      <c r="K265" s="70"/>
      <c r="L265" s="70"/>
      <c r="M265" s="70">
        <v>2</v>
      </c>
      <c r="N265" s="72" t="s">
        <v>7</v>
      </c>
      <c r="O265" s="90"/>
    </row>
    <row r="266" spans="1:15" ht="15.75" customHeight="1" x14ac:dyDescent="0.2">
      <c r="A266" s="17" t="s">
        <v>260</v>
      </c>
      <c r="B266" s="6" t="s">
        <v>133</v>
      </c>
      <c r="C266" s="6" t="s">
        <v>130</v>
      </c>
      <c r="D266" s="6" t="s">
        <v>60</v>
      </c>
      <c r="E266" s="6" t="s">
        <v>20</v>
      </c>
      <c r="F266" s="70"/>
      <c r="G266" s="70"/>
      <c r="H266" s="70"/>
      <c r="I266" s="70">
        <v>1</v>
      </c>
      <c r="J266" s="70"/>
      <c r="K266" s="70"/>
      <c r="L266" s="70"/>
      <c r="M266" s="70">
        <v>2</v>
      </c>
      <c r="N266" s="72" t="s">
        <v>11</v>
      </c>
      <c r="O266" s="90"/>
    </row>
    <row r="267" spans="1:15" ht="15.75" customHeight="1" x14ac:dyDescent="0.2">
      <c r="A267" s="14" t="s">
        <v>259</v>
      </c>
      <c r="B267" s="6" t="s">
        <v>134</v>
      </c>
      <c r="C267" s="6" t="s">
        <v>87</v>
      </c>
      <c r="D267" s="6"/>
      <c r="E267" s="6"/>
      <c r="F267" s="57">
        <v>2</v>
      </c>
      <c r="G267" s="70"/>
      <c r="H267" s="70"/>
      <c r="I267" s="70"/>
      <c r="J267" s="70"/>
      <c r="K267" s="70"/>
      <c r="L267" s="70"/>
      <c r="M267" s="70">
        <v>3</v>
      </c>
      <c r="N267" s="72" t="s">
        <v>7</v>
      </c>
      <c r="O267" s="90"/>
    </row>
    <row r="268" spans="1:15" ht="15.75" customHeight="1" x14ac:dyDescent="0.2">
      <c r="A268" s="14" t="s">
        <v>254</v>
      </c>
      <c r="B268" s="6" t="s">
        <v>139</v>
      </c>
      <c r="C268" s="6" t="s">
        <v>140</v>
      </c>
      <c r="D268" s="6"/>
      <c r="E268" s="6"/>
      <c r="F268" s="70"/>
      <c r="G268" s="70"/>
      <c r="H268" s="70"/>
      <c r="I268" s="70">
        <v>2</v>
      </c>
      <c r="J268" s="70"/>
      <c r="K268" s="70"/>
      <c r="L268" s="70"/>
      <c r="M268" s="84">
        <v>2</v>
      </c>
      <c r="N268" s="72" t="s">
        <v>7</v>
      </c>
      <c r="O268" s="90"/>
    </row>
    <row r="269" spans="1:15" ht="15.75" customHeight="1" x14ac:dyDescent="0.2">
      <c r="A269" s="14" t="s">
        <v>284</v>
      </c>
      <c r="B269" s="6" t="s">
        <v>141</v>
      </c>
      <c r="C269" s="6" t="s">
        <v>140</v>
      </c>
      <c r="D269" s="6"/>
      <c r="E269" s="6"/>
      <c r="F269" s="70"/>
      <c r="G269" s="70"/>
      <c r="H269" s="70"/>
      <c r="I269" s="70">
        <v>1</v>
      </c>
      <c r="J269" s="70"/>
      <c r="K269" s="70"/>
      <c r="L269" s="70"/>
      <c r="M269" s="84">
        <v>2</v>
      </c>
      <c r="N269" s="72" t="s">
        <v>11</v>
      </c>
      <c r="O269" s="90"/>
    </row>
    <row r="270" spans="1:15" ht="15.75" customHeight="1" x14ac:dyDescent="0.2">
      <c r="A270" s="17" t="s">
        <v>252</v>
      </c>
      <c r="B270" s="6" t="s">
        <v>142</v>
      </c>
      <c r="C270" s="6" t="s">
        <v>127</v>
      </c>
      <c r="D270" s="6"/>
      <c r="E270" s="6"/>
      <c r="F270" s="70"/>
      <c r="G270" s="70"/>
      <c r="H270" s="70"/>
      <c r="I270" s="70">
        <v>2</v>
      </c>
      <c r="J270" s="70"/>
      <c r="K270" s="70"/>
      <c r="L270" s="70"/>
      <c r="M270" s="70">
        <v>3</v>
      </c>
      <c r="N270" s="72" t="s">
        <v>7</v>
      </c>
      <c r="O270" s="90"/>
    </row>
    <row r="271" spans="1:15" ht="15.75" customHeight="1" x14ac:dyDescent="0.2">
      <c r="A271" s="17" t="s">
        <v>222</v>
      </c>
      <c r="B271" s="6" t="s">
        <v>143</v>
      </c>
      <c r="C271" s="6" t="s">
        <v>144</v>
      </c>
      <c r="D271" s="113" t="s">
        <v>287</v>
      </c>
      <c r="E271" s="6" t="s">
        <v>20</v>
      </c>
      <c r="F271" s="70"/>
      <c r="G271" s="70"/>
      <c r="H271" s="70"/>
      <c r="I271" s="70"/>
      <c r="J271" s="70">
        <v>1</v>
      </c>
      <c r="K271" s="70"/>
      <c r="L271" s="70"/>
      <c r="M271" s="70">
        <v>1</v>
      </c>
      <c r="N271" s="72" t="s">
        <v>7</v>
      </c>
      <c r="O271" s="90"/>
    </row>
    <row r="272" spans="1:15" ht="15.75" customHeight="1" x14ac:dyDescent="0.2">
      <c r="A272" s="28" t="s">
        <v>223</v>
      </c>
      <c r="B272" s="6" t="s">
        <v>145</v>
      </c>
      <c r="C272" s="6" t="s">
        <v>144</v>
      </c>
      <c r="D272" s="113" t="s">
        <v>287</v>
      </c>
      <c r="E272" s="6" t="s">
        <v>20</v>
      </c>
      <c r="F272" s="70"/>
      <c r="G272" s="70"/>
      <c r="H272" s="70"/>
      <c r="I272" s="70"/>
      <c r="J272" s="70">
        <v>2</v>
      </c>
      <c r="K272" s="70"/>
      <c r="L272" s="70"/>
      <c r="M272" s="70">
        <v>2</v>
      </c>
      <c r="N272" s="72" t="s">
        <v>11</v>
      </c>
      <c r="O272" s="90"/>
    </row>
    <row r="273" spans="1:15" ht="15.75" customHeight="1" x14ac:dyDescent="0.2">
      <c r="A273" s="14" t="s">
        <v>225</v>
      </c>
      <c r="B273" s="6" t="s">
        <v>146</v>
      </c>
      <c r="C273" s="6" t="s">
        <v>144</v>
      </c>
      <c r="D273" s="6" t="s">
        <v>288</v>
      </c>
      <c r="E273" s="6" t="s">
        <v>20</v>
      </c>
      <c r="F273" s="70"/>
      <c r="G273" s="70"/>
      <c r="H273" s="70"/>
      <c r="I273" s="70"/>
      <c r="J273" s="70"/>
      <c r="K273" s="70">
        <v>1</v>
      </c>
      <c r="L273" s="70"/>
      <c r="M273" s="70">
        <v>1</v>
      </c>
      <c r="N273" s="72" t="s">
        <v>7</v>
      </c>
      <c r="O273" s="90"/>
    </row>
    <row r="274" spans="1:15" ht="15.75" customHeight="1" x14ac:dyDescent="0.2">
      <c r="A274" s="14" t="s">
        <v>226</v>
      </c>
      <c r="B274" s="6" t="s">
        <v>147</v>
      </c>
      <c r="C274" s="6" t="s">
        <v>144</v>
      </c>
      <c r="D274" s="6" t="s">
        <v>288</v>
      </c>
      <c r="E274" s="6" t="s">
        <v>20</v>
      </c>
      <c r="F274" s="70"/>
      <c r="G274" s="70"/>
      <c r="H274" s="70"/>
      <c r="I274" s="70"/>
      <c r="J274" s="70"/>
      <c r="K274" s="70">
        <v>2</v>
      </c>
      <c r="L274" s="70"/>
      <c r="M274" s="70">
        <v>2</v>
      </c>
      <c r="N274" s="72" t="s">
        <v>11</v>
      </c>
      <c r="O274" s="90"/>
    </row>
    <row r="275" spans="1:15" ht="15.75" customHeight="1" x14ac:dyDescent="0.2">
      <c r="A275" s="17" t="s">
        <v>251</v>
      </c>
      <c r="B275" s="6" t="s">
        <v>158</v>
      </c>
      <c r="C275" s="6" t="s">
        <v>159</v>
      </c>
      <c r="D275" s="6"/>
      <c r="E275" s="6"/>
      <c r="F275" s="70"/>
      <c r="G275" s="70"/>
      <c r="H275" s="70"/>
      <c r="I275" s="70">
        <v>2</v>
      </c>
      <c r="J275" s="70"/>
      <c r="K275" s="70"/>
      <c r="L275" s="70"/>
      <c r="M275" s="70">
        <v>3</v>
      </c>
      <c r="N275" s="72" t="s">
        <v>7</v>
      </c>
      <c r="O275" s="90"/>
    </row>
    <row r="276" spans="1:15" ht="15.75" customHeight="1" x14ac:dyDescent="0.2">
      <c r="A276" s="31" t="s">
        <v>237</v>
      </c>
      <c r="B276" s="6" t="s">
        <v>160</v>
      </c>
      <c r="C276" s="6" t="s">
        <v>161</v>
      </c>
      <c r="D276" s="6"/>
      <c r="E276" s="6"/>
      <c r="F276" s="70">
        <v>2</v>
      </c>
      <c r="G276" s="70"/>
      <c r="H276" s="70"/>
      <c r="I276" s="70"/>
      <c r="J276" s="70"/>
      <c r="K276" s="70"/>
      <c r="L276" s="70"/>
      <c r="M276" s="84">
        <v>2</v>
      </c>
      <c r="N276" s="72" t="s">
        <v>7</v>
      </c>
      <c r="O276" s="90"/>
    </row>
    <row r="277" spans="1:15" ht="15.75" customHeight="1" x14ac:dyDescent="0.2">
      <c r="A277" s="122" t="s">
        <v>238</v>
      </c>
      <c r="B277" s="6" t="s">
        <v>162</v>
      </c>
      <c r="C277" s="6" t="s">
        <v>161</v>
      </c>
      <c r="D277" s="6"/>
      <c r="E277" s="6"/>
      <c r="F277" s="70">
        <v>1</v>
      </c>
      <c r="G277" s="70"/>
      <c r="H277" s="70"/>
      <c r="I277" s="70"/>
      <c r="J277" s="70"/>
      <c r="K277" s="70"/>
      <c r="L277" s="70"/>
      <c r="M277" s="84">
        <v>2</v>
      </c>
      <c r="N277" s="72" t="s">
        <v>11</v>
      </c>
      <c r="O277" s="90"/>
    </row>
    <row r="278" spans="1:15" ht="15.75" customHeight="1" x14ac:dyDescent="0.2">
      <c r="A278" s="69" t="s">
        <v>333</v>
      </c>
      <c r="B278" s="18" t="s">
        <v>334</v>
      </c>
      <c r="C278" s="18" t="s">
        <v>336</v>
      </c>
      <c r="D278" s="18" t="s">
        <v>337</v>
      </c>
      <c r="E278" s="18" t="s">
        <v>84</v>
      </c>
      <c r="F278" s="57"/>
      <c r="G278" s="57"/>
      <c r="H278" s="57"/>
      <c r="I278" s="57"/>
      <c r="J278" s="57">
        <v>1</v>
      </c>
      <c r="K278" s="57"/>
      <c r="L278" s="57"/>
      <c r="M278" s="85">
        <v>1</v>
      </c>
      <c r="N278" s="58" t="s">
        <v>7</v>
      </c>
      <c r="O278" s="90" t="s">
        <v>329</v>
      </c>
    </row>
    <row r="279" spans="1:15" ht="15.75" customHeight="1" x14ac:dyDescent="0.2">
      <c r="A279" s="69" t="s">
        <v>335</v>
      </c>
      <c r="B279" s="18" t="s">
        <v>334</v>
      </c>
      <c r="C279" s="18" t="s">
        <v>336</v>
      </c>
      <c r="D279" s="18" t="s">
        <v>337</v>
      </c>
      <c r="E279" s="18" t="s">
        <v>84</v>
      </c>
      <c r="F279" s="57"/>
      <c r="G279" s="57"/>
      <c r="H279" s="57"/>
      <c r="I279" s="57"/>
      <c r="J279" s="57">
        <v>2</v>
      </c>
      <c r="K279" s="57"/>
      <c r="L279" s="57"/>
      <c r="M279" s="85">
        <v>2</v>
      </c>
      <c r="N279" s="58" t="s">
        <v>11</v>
      </c>
      <c r="O279" s="90" t="s">
        <v>329</v>
      </c>
    </row>
    <row r="280" spans="1:15" ht="15.75" customHeight="1" x14ac:dyDescent="0.2">
      <c r="A280" s="262" t="s">
        <v>269</v>
      </c>
      <c r="B280" s="190" t="s">
        <v>119</v>
      </c>
      <c r="C280" s="190" t="s">
        <v>69</v>
      </c>
      <c r="D280" s="190" t="s">
        <v>218</v>
      </c>
      <c r="E280" s="190" t="s">
        <v>20</v>
      </c>
      <c r="F280" s="191"/>
      <c r="G280" s="191"/>
      <c r="H280" s="191"/>
      <c r="I280" s="191"/>
      <c r="J280" s="191">
        <v>2</v>
      </c>
      <c r="K280" s="191"/>
      <c r="L280" s="191"/>
      <c r="M280" s="191">
        <v>2</v>
      </c>
      <c r="N280" s="193" t="s">
        <v>7</v>
      </c>
      <c r="O280" s="90"/>
    </row>
    <row r="281" spans="1:15" ht="15.75" customHeight="1" thickBot="1" x14ac:dyDescent="0.25">
      <c r="A281" s="263" t="s">
        <v>268</v>
      </c>
      <c r="B281" s="257" t="s">
        <v>120</v>
      </c>
      <c r="C281" s="257" t="s">
        <v>69</v>
      </c>
      <c r="D281" s="257" t="s">
        <v>218</v>
      </c>
      <c r="E281" s="257" t="s">
        <v>20</v>
      </c>
      <c r="F281" s="259"/>
      <c r="G281" s="259"/>
      <c r="H281" s="259"/>
      <c r="I281" s="259"/>
      <c r="J281" s="259">
        <v>2</v>
      </c>
      <c r="K281" s="259"/>
      <c r="L281" s="259"/>
      <c r="M281" s="259">
        <v>3</v>
      </c>
      <c r="N281" s="261" t="s">
        <v>11</v>
      </c>
      <c r="O281" s="90"/>
    </row>
    <row r="282" spans="1:15" ht="15.75" customHeight="1" x14ac:dyDescent="0.2">
      <c r="A282" s="123" t="s">
        <v>89</v>
      </c>
      <c r="B282" s="124"/>
      <c r="C282" s="124"/>
      <c r="D282" s="124"/>
      <c r="E282" s="124"/>
      <c r="F282" s="125"/>
      <c r="G282" s="125"/>
      <c r="H282" s="125"/>
      <c r="I282" s="125"/>
      <c r="J282" s="125"/>
      <c r="K282" s="125"/>
      <c r="L282" s="125"/>
      <c r="M282" s="121">
        <f>SUM(M261:M281)</f>
        <v>43</v>
      </c>
      <c r="N282" s="99"/>
      <c r="O282" s="90"/>
    </row>
    <row r="283" spans="1:15" ht="15.75" customHeight="1" x14ac:dyDescent="0.2">
      <c r="A283" s="126"/>
      <c r="B283" s="99"/>
      <c r="C283" s="99"/>
      <c r="D283" s="99"/>
      <c r="E283" s="99"/>
      <c r="F283" s="100"/>
      <c r="G283" s="100"/>
      <c r="H283" s="100"/>
      <c r="I283" s="100"/>
      <c r="J283" s="100"/>
      <c r="K283" s="100"/>
      <c r="L283" s="100"/>
      <c r="M283" s="127"/>
      <c r="N283" s="99"/>
      <c r="O283" s="90"/>
    </row>
    <row r="284" spans="1:15" ht="15.75" customHeight="1" thickBot="1" x14ac:dyDescent="0.25">
      <c r="A284" s="406" t="s">
        <v>299</v>
      </c>
      <c r="B284" s="406"/>
      <c r="C284" s="406"/>
      <c r="D284" s="406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90"/>
    </row>
    <row r="285" spans="1:15" ht="15.75" customHeight="1" x14ac:dyDescent="0.2">
      <c r="A285" s="101"/>
      <c r="B285" s="102"/>
      <c r="C285" s="102"/>
      <c r="D285" s="102"/>
      <c r="E285" s="102"/>
      <c r="F285" s="103"/>
      <c r="G285" s="103"/>
      <c r="H285" s="103"/>
      <c r="I285" s="103"/>
      <c r="J285" s="103"/>
      <c r="K285" s="103"/>
      <c r="L285" s="103"/>
      <c r="M285" s="103"/>
      <c r="N285" s="104"/>
      <c r="O285" s="90"/>
    </row>
    <row r="286" spans="1:15" ht="15.75" customHeight="1" thickBot="1" x14ac:dyDescent="0.25">
      <c r="A286" s="105"/>
      <c r="B286" s="106" t="s">
        <v>241</v>
      </c>
      <c r="C286" s="106"/>
      <c r="D286" s="106"/>
      <c r="E286" s="106"/>
      <c r="F286" s="107"/>
      <c r="G286" s="107"/>
      <c r="H286" s="107"/>
      <c r="I286" s="107"/>
      <c r="J286" s="107"/>
      <c r="K286" s="107"/>
      <c r="L286" s="107"/>
      <c r="M286" s="107"/>
      <c r="N286" s="108"/>
      <c r="O286" s="90"/>
    </row>
    <row r="287" spans="1:15" ht="15.75" customHeight="1" x14ac:dyDescent="0.2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90"/>
    </row>
    <row r="288" spans="1:15" ht="15.75" customHeight="1" x14ac:dyDescent="0.2">
      <c r="A288" s="407" t="s">
        <v>300</v>
      </c>
      <c r="B288" s="407"/>
      <c r="C288" s="407"/>
      <c r="D288" s="407"/>
      <c r="E288" s="407"/>
      <c r="F288" s="407"/>
      <c r="G288" s="407"/>
      <c r="H288" s="407"/>
      <c r="I288" s="407"/>
      <c r="J288" s="407"/>
      <c r="K288" s="407"/>
      <c r="L288" s="407"/>
      <c r="M288" s="407"/>
      <c r="N288" s="407"/>
      <c r="O288" s="90"/>
    </row>
    <row r="289" spans="1:15" ht="15.75" customHeight="1" x14ac:dyDescent="0.2">
      <c r="A289" s="381" t="s">
        <v>303</v>
      </c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90"/>
    </row>
    <row r="290" spans="1:15" ht="15.75" customHeight="1" thickBot="1" x14ac:dyDescent="0.25">
      <c r="A290" s="406" t="s">
        <v>305</v>
      </c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90"/>
    </row>
    <row r="291" spans="1:15" ht="15.75" customHeight="1" x14ac:dyDescent="0.2">
      <c r="A291" s="184" t="s">
        <v>207</v>
      </c>
      <c r="B291" s="215" t="s">
        <v>106</v>
      </c>
      <c r="C291" s="255" t="s">
        <v>33</v>
      </c>
      <c r="D291" s="185" t="s">
        <v>107</v>
      </c>
      <c r="E291" s="185" t="s">
        <v>20</v>
      </c>
      <c r="F291" s="186"/>
      <c r="G291" s="186"/>
      <c r="H291" s="186"/>
      <c r="I291" s="186"/>
      <c r="J291" s="186">
        <v>2</v>
      </c>
      <c r="K291" s="186"/>
      <c r="L291" s="186"/>
      <c r="M291" s="221">
        <v>2</v>
      </c>
      <c r="N291" s="188" t="s">
        <v>7</v>
      </c>
      <c r="O291" s="90"/>
    </row>
    <row r="292" spans="1:15" ht="15.75" customHeight="1" x14ac:dyDescent="0.2">
      <c r="A292" s="194" t="s">
        <v>208</v>
      </c>
      <c r="B292" s="201" t="s">
        <v>108</v>
      </c>
      <c r="C292" s="222" t="s">
        <v>33</v>
      </c>
      <c r="D292" s="190" t="s">
        <v>107</v>
      </c>
      <c r="E292" s="190" t="s">
        <v>20</v>
      </c>
      <c r="F292" s="191"/>
      <c r="G292" s="191"/>
      <c r="H292" s="191"/>
      <c r="I292" s="191"/>
      <c r="J292" s="191">
        <v>1</v>
      </c>
      <c r="K292" s="191"/>
      <c r="L292" s="191"/>
      <c r="M292" s="210">
        <v>2</v>
      </c>
      <c r="N292" s="193" t="s">
        <v>11</v>
      </c>
      <c r="O292" s="90"/>
    </row>
    <row r="293" spans="1:15" ht="15.75" customHeight="1" x14ac:dyDescent="0.2">
      <c r="A293" s="194" t="s">
        <v>211</v>
      </c>
      <c r="B293" s="190" t="s">
        <v>109</v>
      </c>
      <c r="C293" s="223" t="s">
        <v>39</v>
      </c>
      <c r="D293" s="190" t="s">
        <v>110</v>
      </c>
      <c r="E293" s="190" t="s">
        <v>20</v>
      </c>
      <c r="F293" s="191"/>
      <c r="G293" s="191"/>
      <c r="H293" s="191"/>
      <c r="I293" s="191"/>
      <c r="J293" s="191">
        <v>2</v>
      </c>
      <c r="K293" s="191"/>
      <c r="L293" s="191"/>
      <c r="M293" s="210">
        <v>2</v>
      </c>
      <c r="N293" s="193" t="s">
        <v>7</v>
      </c>
      <c r="O293" s="90"/>
    </row>
    <row r="294" spans="1:15" ht="15.75" customHeight="1" thickBot="1" x14ac:dyDescent="0.25">
      <c r="A294" s="256" t="s">
        <v>212</v>
      </c>
      <c r="B294" s="257" t="s">
        <v>111</v>
      </c>
      <c r="C294" s="258" t="s">
        <v>39</v>
      </c>
      <c r="D294" s="257" t="s">
        <v>110</v>
      </c>
      <c r="E294" s="257" t="s">
        <v>20</v>
      </c>
      <c r="F294" s="259"/>
      <c r="G294" s="259"/>
      <c r="H294" s="259"/>
      <c r="I294" s="259"/>
      <c r="J294" s="259">
        <v>1</v>
      </c>
      <c r="K294" s="259"/>
      <c r="L294" s="259"/>
      <c r="M294" s="260">
        <v>2</v>
      </c>
      <c r="N294" s="261" t="s">
        <v>11</v>
      </c>
      <c r="O294" s="90"/>
    </row>
    <row r="295" spans="1:15" ht="15.75" customHeight="1" x14ac:dyDescent="0.2">
      <c r="A295" s="123" t="s">
        <v>89</v>
      </c>
      <c r="B295" s="124"/>
      <c r="C295" s="124"/>
      <c r="D295" s="124"/>
      <c r="E295" s="124"/>
      <c r="F295" s="125"/>
      <c r="G295" s="125"/>
      <c r="H295" s="125"/>
      <c r="I295" s="125"/>
      <c r="J295" s="125"/>
      <c r="K295" s="125"/>
      <c r="L295" s="125"/>
      <c r="M295" s="121">
        <f>SUM(M291:M294)</f>
        <v>8</v>
      </c>
      <c r="N295" s="116"/>
      <c r="O295" s="90"/>
    </row>
    <row r="296" spans="1:15" ht="15.75" customHeight="1" x14ac:dyDescent="0.2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90"/>
    </row>
    <row r="297" spans="1:15" ht="15.75" customHeight="1" thickBot="1" x14ac:dyDescent="0.25">
      <c r="A297" s="406" t="s">
        <v>306</v>
      </c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90"/>
    </row>
    <row r="298" spans="1:15" ht="15.75" customHeight="1" x14ac:dyDescent="0.2">
      <c r="A298" s="184" t="s">
        <v>90</v>
      </c>
      <c r="B298" s="185" t="s">
        <v>91</v>
      </c>
      <c r="C298" s="185" t="s">
        <v>10</v>
      </c>
      <c r="D298" s="185" t="s">
        <v>40</v>
      </c>
      <c r="E298" s="185" t="s">
        <v>20</v>
      </c>
      <c r="F298" s="186"/>
      <c r="G298" s="186"/>
      <c r="H298" s="186">
        <v>2</v>
      </c>
      <c r="I298" s="186"/>
      <c r="J298" s="186"/>
      <c r="K298" s="186"/>
      <c r="L298" s="186"/>
      <c r="M298" s="221">
        <v>2</v>
      </c>
      <c r="N298" s="188" t="s">
        <v>7</v>
      </c>
      <c r="O298" s="90"/>
    </row>
    <row r="299" spans="1:15" ht="15.75" customHeight="1" x14ac:dyDescent="0.2">
      <c r="A299" s="194" t="s">
        <v>92</v>
      </c>
      <c r="B299" s="190" t="s">
        <v>93</v>
      </c>
      <c r="C299" s="190" t="s">
        <v>10</v>
      </c>
      <c r="D299" s="190" t="s">
        <v>40</v>
      </c>
      <c r="E299" s="190" t="s">
        <v>20</v>
      </c>
      <c r="F299" s="191"/>
      <c r="G299" s="191"/>
      <c r="H299" s="191">
        <v>2</v>
      </c>
      <c r="I299" s="191"/>
      <c r="J299" s="191"/>
      <c r="K299" s="191"/>
      <c r="L299" s="191"/>
      <c r="M299" s="210">
        <v>3</v>
      </c>
      <c r="N299" s="193" t="s">
        <v>11</v>
      </c>
      <c r="O299" s="90"/>
    </row>
    <row r="300" spans="1:15" ht="15.75" customHeight="1" x14ac:dyDescent="0.2">
      <c r="A300" s="14" t="s">
        <v>94</v>
      </c>
      <c r="B300" s="6" t="s">
        <v>95</v>
      </c>
      <c r="C300" s="6" t="s">
        <v>96</v>
      </c>
      <c r="D300" s="6" t="s">
        <v>97</v>
      </c>
      <c r="E300" s="6" t="s">
        <v>20</v>
      </c>
      <c r="F300" s="70"/>
      <c r="G300" s="70"/>
      <c r="H300" s="70"/>
      <c r="I300" s="70">
        <v>2</v>
      </c>
      <c r="J300" s="70"/>
      <c r="K300" s="70"/>
      <c r="L300" s="70"/>
      <c r="M300" s="85">
        <v>2</v>
      </c>
      <c r="N300" s="72" t="s">
        <v>7</v>
      </c>
      <c r="O300" s="90"/>
    </row>
    <row r="301" spans="1:15" ht="15.75" customHeight="1" x14ac:dyDescent="0.2">
      <c r="A301" s="14" t="s">
        <v>98</v>
      </c>
      <c r="B301" s="6" t="s">
        <v>99</v>
      </c>
      <c r="C301" s="6" t="s">
        <v>96</v>
      </c>
      <c r="D301" s="6" t="s">
        <v>97</v>
      </c>
      <c r="E301" s="6" t="s">
        <v>20</v>
      </c>
      <c r="F301" s="70"/>
      <c r="G301" s="70"/>
      <c r="H301" s="70"/>
      <c r="I301" s="70">
        <v>2</v>
      </c>
      <c r="J301" s="70"/>
      <c r="K301" s="70"/>
      <c r="L301" s="70"/>
      <c r="M301" s="85">
        <v>3</v>
      </c>
      <c r="N301" s="72" t="s">
        <v>11</v>
      </c>
      <c r="O301" s="90"/>
    </row>
    <row r="302" spans="1:15" ht="15.75" customHeight="1" x14ac:dyDescent="0.2">
      <c r="A302" s="14" t="s">
        <v>100</v>
      </c>
      <c r="B302" s="6" t="s">
        <v>101</v>
      </c>
      <c r="C302" s="6" t="s">
        <v>165</v>
      </c>
      <c r="D302" s="6" t="s">
        <v>103</v>
      </c>
      <c r="E302" s="6" t="s">
        <v>20</v>
      </c>
      <c r="F302" s="70"/>
      <c r="G302" s="70"/>
      <c r="H302" s="70"/>
      <c r="I302" s="70">
        <v>2</v>
      </c>
      <c r="J302" s="70"/>
      <c r="K302" s="70"/>
      <c r="L302" s="70"/>
      <c r="M302" s="85">
        <v>2</v>
      </c>
      <c r="N302" s="72" t="s">
        <v>7</v>
      </c>
      <c r="O302" s="90"/>
    </row>
    <row r="303" spans="1:15" ht="15.75" customHeight="1" x14ac:dyDescent="0.2">
      <c r="A303" s="14" t="s">
        <v>104</v>
      </c>
      <c r="B303" s="6" t="s">
        <v>105</v>
      </c>
      <c r="C303" s="6" t="s">
        <v>165</v>
      </c>
      <c r="D303" s="6" t="s">
        <v>103</v>
      </c>
      <c r="E303" s="6" t="s">
        <v>20</v>
      </c>
      <c r="F303" s="70"/>
      <c r="G303" s="70"/>
      <c r="H303" s="70"/>
      <c r="I303" s="70">
        <v>2</v>
      </c>
      <c r="J303" s="70"/>
      <c r="K303" s="70"/>
      <c r="L303" s="70"/>
      <c r="M303" s="85">
        <v>3</v>
      </c>
      <c r="N303" s="72" t="s">
        <v>11</v>
      </c>
      <c r="O303" s="90"/>
    </row>
    <row r="304" spans="1:15" ht="15.75" customHeight="1" x14ac:dyDescent="0.2">
      <c r="A304" s="14" t="s">
        <v>213</v>
      </c>
      <c r="B304" s="6" t="s">
        <v>112</v>
      </c>
      <c r="C304" s="6" t="s">
        <v>113</v>
      </c>
      <c r="D304" s="6"/>
      <c r="E304" s="6"/>
      <c r="F304" s="70"/>
      <c r="G304" s="70"/>
      <c r="H304" s="70">
        <v>2</v>
      </c>
      <c r="I304" s="70"/>
      <c r="J304" s="70"/>
      <c r="K304" s="70"/>
      <c r="L304" s="70"/>
      <c r="M304" s="85">
        <v>2</v>
      </c>
      <c r="N304" s="72" t="s">
        <v>7</v>
      </c>
      <c r="O304" s="90"/>
    </row>
    <row r="305" spans="1:15" ht="15.75" customHeight="1" x14ac:dyDescent="0.2">
      <c r="A305" s="14" t="s">
        <v>214</v>
      </c>
      <c r="B305" s="6" t="s">
        <v>114</v>
      </c>
      <c r="C305" s="6" t="s">
        <v>113</v>
      </c>
      <c r="D305" s="6"/>
      <c r="E305" s="6"/>
      <c r="F305" s="70"/>
      <c r="G305" s="70"/>
      <c r="H305" s="70">
        <v>1</v>
      </c>
      <c r="I305" s="70"/>
      <c r="J305" s="70"/>
      <c r="K305" s="70"/>
      <c r="L305" s="70"/>
      <c r="M305" s="85">
        <v>2</v>
      </c>
      <c r="N305" s="72" t="s">
        <v>11</v>
      </c>
      <c r="O305" s="90"/>
    </row>
    <row r="306" spans="1:15" ht="15.75" customHeight="1" x14ac:dyDescent="0.2">
      <c r="A306" s="14" t="s">
        <v>215</v>
      </c>
      <c r="B306" s="6" t="s">
        <v>115</v>
      </c>
      <c r="C306" s="6" t="s">
        <v>42</v>
      </c>
      <c r="D306" s="6"/>
      <c r="E306" s="6"/>
      <c r="F306" s="70"/>
      <c r="G306" s="70"/>
      <c r="H306" s="70"/>
      <c r="I306" s="70"/>
      <c r="J306" s="70">
        <v>2</v>
      </c>
      <c r="K306" s="70"/>
      <c r="L306" s="70"/>
      <c r="M306" s="85">
        <v>3</v>
      </c>
      <c r="N306" s="72" t="s">
        <v>7</v>
      </c>
      <c r="O306" s="90"/>
    </row>
    <row r="307" spans="1:15" ht="15.75" customHeight="1" x14ac:dyDescent="0.2">
      <c r="A307" s="14" t="s">
        <v>216</v>
      </c>
      <c r="B307" s="6" t="s">
        <v>116</v>
      </c>
      <c r="C307" s="6" t="s">
        <v>117</v>
      </c>
      <c r="D307" s="6"/>
      <c r="E307" s="6"/>
      <c r="F307" s="70"/>
      <c r="G307" s="70"/>
      <c r="H307" s="70">
        <v>2</v>
      </c>
      <c r="I307" s="70"/>
      <c r="J307" s="70"/>
      <c r="K307" s="70"/>
      <c r="L307" s="70"/>
      <c r="M307" s="85">
        <v>3</v>
      </c>
      <c r="N307" s="72" t="s">
        <v>7</v>
      </c>
      <c r="O307" s="90"/>
    </row>
    <row r="308" spans="1:15" ht="15.75" customHeight="1" thickBot="1" x14ac:dyDescent="0.25">
      <c r="A308" s="24" t="s">
        <v>286</v>
      </c>
      <c r="B308" s="30" t="s">
        <v>166</v>
      </c>
      <c r="C308" s="30" t="s">
        <v>33</v>
      </c>
      <c r="D308" s="30"/>
      <c r="E308" s="30"/>
      <c r="F308" s="59">
        <v>2</v>
      </c>
      <c r="G308" s="59"/>
      <c r="H308" s="59"/>
      <c r="I308" s="59"/>
      <c r="J308" s="59"/>
      <c r="K308" s="59"/>
      <c r="L308" s="59"/>
      <c r="M308" s="91">
        <v>3</v>
      </c>
      <c r="N308" s="60" t="s">
        <v>7</v>
      </c>
      <c r="O308" s="90"/>
    </row>
    <row r="309" spans="1:15" ht="15.75" customHeight="1" x14ac:dyDescent="0.2">
      <c r="A309" s="123" t="s">
        <v>89</v>
      </c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28">
        <f>SUM(M298:M308)</f>
        <v>28</v>
      </c>
      <c r="N309" s="129"/>
      <c r="O309" s="90"/>
    </row>
    <row r="310" spans="1:15" ht="15.75" customHeight="1" x14ac:dyDescent="0.2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90"/>
    </row>
    <row r="311" spans="1:15" ht="15.75" customHeight="1" x14ac:dyDescent="0.2">
      <c r="A311" s="381" t="s">
        <v>307</v>
      </c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90"/>
    </row>
    <row r="312" spans="1:15" ht="15.75" customHeight="1" thickBot="1" x14ac:dyDescent="0.25">
      <c r="A312" s="406" t="s">
        <v>308</v>
      </c>
      <c r="B312" s="406"/>
      <c r="C312" s="406"/>
      <c r="D312" s="406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90"/>
    </row>
    <row r="313" spans="1:15" ht="15.75" customHeight="1" x14ac:dyDescent="0.2">
      <c r="A313" s="251" t="s">
        <v>263</v>
      </c>
      <c r="B313" s="252" t="s">
        <v>129</v>
      </c>
      <c r="C313" s="252" t="s">
        <v>130</v>
      </c>
      <c r="D313" s="252" t="s">
        <v>60</v>
      </c>
      <c r="E313" s="252" t="s">
        <v>20</v>
      </c>
      <c r="F313" s="253"/>
      <c r="G313" s="253"/>
      <c r="H313" s="253"/>
      <c r="I313" s="253"/>
      <c r="J313" s="253"/>
      <c r="K313" s="253">
        <v>2</v>
      </c>
      <c r="L313" s="253"/>
      <c r="M313" s="253">
        <v>2</v>
      </c>
      <c r="N313" s="254" t="s">
        <v>7</v>
      </c>
      <c r="O313" s="90"/>
    </row>
    <row r="314" spans="1:15" ht="15.75" customHeight="1" x14ac:dyDescent="0.2">
      <c r="A314" s="217" t="s">
        <v>262</v>
      </c>
      <c r="B314" s="218" t="s">
        <v>131</v>
      </c>
      <c r="C314" s="218" t="s">
        <v>130</v>
      </c>
      <c r="D314" s="218" t="s">
        <v>60</v>
      </c>
      <c r="E314" s="218" t="s">
        <v>20</v>
      </c>
      <c r="F314" s="219"/>
      <c r="G314" s="219"/>
      <c r="H314" s="219"/>
      <c r="I314" s="219"/>
      <c r="J314" s="219"/>
      <c r="K314" s="219">
        <v>1</v>
      </c>
      <c r="L314" s="219"/>
      <c r="M314" s="219">
        <v>2</v>
      </c>
      <c r="N314" s="228" t="s">
        <v>11</v>
      </c>
      <c r="O314" s="90"/>
    </row>
    <row r="315" spans="1:15" ht="15.75" customHeight="1" x14ac:dyDescent="0.2">
      <c r="A315" s="17" t="s">
        <v>261</v>
      </c>
      <c r="B315" s="18" t="s">
        <v>132</v>
      </c>
      <c r="C315" s="18" t="s">
        <v>130</v>
      </c>
      <c r="D315" s="18" t="s">
        <v>60</v>
      </c>
      <c r="E315" s="18" t="s">
        <v>20</v>
      </c>
      <c r="F315" s="57"/>
      <c r="G315" s="57"/>
      <c r="H315" s="57"/>
      <c r="I315" s="57">
        <v>2</v>
      </c>
      <c r="J315" s="57"/>
      <c r="K315" s="57"/>
      <c r="L315" s="57"/>
      <c r="M315" s="57">
        <v>2</v>
      </c>
      <c r="N315" s="58" t="s">
        <v>7</v>
      </c>
      <c r="O315" s="90"/>
    </row>
    <row r="316" spans="1:15" ht="15.75" customHeight="1" x14ac:dyDescent="0.2">
      <c r="A316" s="17" t="s">
        <v>260</v>
      </c>
      <c r="B316" s="18" t="s">
        <v>133</v>
      </c>
      <c r="C316" s="18" t="s">
        <v>130</v>
      </c>
      <c r="D316" s="18" t="s">
        <v>60</v>
      </c>
      <c r="E316" s="18" t="s">
        <v>20</v>
      </c>
      <c r="F316" s="57"/>
      <c r="G316" s="57"/>
      <c r="H316" s="57"/>
      <c r="I316" s="57">
        <v>1</v>
      </c>
      <c r="J316" s="57"/>
      <c r="K316" s="57"/>
      <c r="L316" s="57"/>
      <c r="M316" s="57">
        <v>2</v>
      </c>
      <c r="N316" s="58" t="s">
        <v>11</v>
      </c>
      <c r="O316" s="90"/>
    </row>
    <row r="317" spans="1:15" ht="15.75" customHeight="1" x14ac:dyDescent="0.2">
      <c r="A317" s="14" t="s">
        <v>259</v>
      </c>
      <c r="B317" s="18" t="s">
        <v>134</v>
      </c>
      <c r="C317" s="18" t="s">
        <v>87</v>
      </c>
      <c r="D317" s="18"/>
      <c r="E317" s="18"/>
      <c r="F317" s="57"/>
      <c r="G317" s="57"/>
      <c r="H317" s="57"/>
      <c r="I317" s="57">
        <v>2</v>
      </c>
      <c r="J317" s="57"/>
      <c r="K317" s="57"/>
      <c r="L317" s="57"/>
      <c r="M317" s="57">
        <v>3</v>
      </c>
      <c r="N317" s="58" t="s">
        <v>7</v>
      </c>
      <c r="O317" s="90"/>
    </row>
    <row r="318" spans="1:15" ht="15.75" customHeight="1" x14ac:dyDescent="0.2">
      <c r="A318" s="14" t="s">
        <v>258</v>
      </c>
      <c r="B318" s="18" t="s">
        <v>135</v>
      </c>
      <c r="C318" s="18" t="s">
        <v>56</v>
      </c>
      <c r="D318" s="18"/>
      <c r="E318" s="18"/>
      <c r="F318" s="57"/>
      <c r="G318" s="57"/>
      <c r="H318" s="57"/>
      <c r="I318" s="57">
        <v>2</v>
      </c>
      <c r="J318" s="57"/>
      <c r="K318" s="57"/>
      <c r="L318" s="57"/>
      <c r="M318" s="57">
        <v>3</v>
      </c>
      <c r="N318" s="58" t="s">
        <v>7</v>
      </c>
      <c r="O318" s="90"/>
    </row>
    <row r="319" spans="1:15" ht="15.75" customHeight="1" x14ac:dyDescent="0.2">
      <c r="A319" s="14" t="s">
        <v>257</v>
      </c>
      <c r="B319" s="18" t="s">
        <v>167</v>
      </c>
      <c r="C319" s="18" t="s">
        <v>127</v>
      </c>
      <c r="D319" s="18"/>
      <c r="E319" s="18"/>
      <c r="F319" s="57"/>
      <c r="G319" s="57"/>
      <c r="H319" s="57"/>
      <c r="I319" s="57">
        <v>2</v>
      </c>
      <c r="J319" s="57"/>
      <c r="K319" s="57"/>
      <c r="L319" s="57"/>
      <c r="M319" s="57">
        <v>3</v>
      </c>
      <c r="N319" s="58" t="s">
        <v>7</v>
      </c>
      <c r="O319" s="90"/>
    </row>
    <row r="320" spans="1:15" ht="15.75" customHeight="1" x14ac:dyDescent="0.2">
      <c r="A320" s="17" t="s">
        <v>219</v>
      </c>
      <c r="B320" s="18" t="s">
        <v>220</v>
      </c>
      <c r="C320" s="18" t="s">
        <v>136</v>
      </c>
      <c r="D320" s="18"/>
      <c r="E320" s="18"/>
      <c r="F320" s="57"/>
      <c r="G320" s="57"/>
      <c r="H320" s="57"/>
      <c r="I320" s="57">
        <v>2</v>
      </c>
      <c r="J320" s="57"/>
      <c r="K320" s="57"/>
      <c r="L320" s="57"/>
      <c r="M320" s="57">
        <v>3</v>
      </c>
      <c r="N320" s="87" t="s">
        <v>289</v>
      </c>
      <c r="O320" s="90"/>
    </row>
    <row r="321" spans="1:15" ht="15.75" customHeight="1" x14ac:dyDescent="0.2">
      <c r="A321" s="14" t="s">
        <v>256</v>
      </c>
      <c r="B321" s="18" t="s">
        <v>137</v>
      </c>
      <c r="C321" s="18" t="s">
        <v>87</v>
      </c>
      <c r="D321" s="18"/>
      <c r="E321" s="18"/>
      <c r="F321" s="57"/>
      <c r="G321" s="57"/>
      <c r="H321" s="57"/>
      <c r="I321" s="57">
        <v>2</v>
      </c>
      <c r="J321" s="57"/>
      <c r="K321" s="57"/>
      <c r="L321" s="57"/>
      <c r="M321" s="57">
        <v>3</v>
      </c>
      <c r="N321" s="58" t="s">
        <v>7</v>
      </c>
      <c r="O321" s="90"/>
    </row>
    <row r="322" spans="1:15" ht="15.75" customHeight="1" x14ac:dyDescent="0.2">
      <c r="A322" s="14" t="s">
        <v>255</v>
      </c>
      <c r="B322" s="18" t="s">
        <v>138</v>
      </c>
      <c r="C322" s="18" t="s">
        <v>127</v>
      </c>
      <c r="D322" s="18"/>
      <c r="E322" s="18"/>
      <c r="F322" s="57"/>
      <c r="G322" s="57"/>
      <c r="H322" s="57"/>
      <c r="I322" s="57">
        <v>2</v>
      </c>
      <c r="J322" s="57"/>
      <c r="K322" s="57"/>
      <c r="L322" s="57"/>
      <c r="M322" s="57">
        <v>3</v>
      </c>
      <c r="N322" s="58" t="s">
        <v>7</v>
      </c>
      <c r="O322" s="90"/>
    </row>
    <row r="323" spans="1:15" ht="15.75" customHeight="1" x14ac:dyDescent="0.2">
      <c r="A323" s="14" t="s">
        <v>254</v>
      </c>
      <c r="B323" s="18" t="s">
        <v>139</v>
      </c>
      <c r="C323" s="18" t="s">
        <v>140</v>
      </c>
      <c r="D323" s="18"/>
      <c r="E323" s="18"/>
      <c r="F323" s="57"/>
      <c r="G323" s="57"/>
      <c r="H323" s="57"/>
      <c r="I323" s="57">
        <v>2</v>
      </c>
      <c r="J323" s="57"/>
      <c r="K323" s="57"/>
      <c r="L323" s="57"/>
      <c r="M323" s="85">
        <v>2</v>
      </c>
      <c r="N323" s="58" t="s">
        <v>7</v>
      </c>
      <c r="O323" s="90"/>
    </row>
    <row r="324" spans="1:15" ht="15.75" customHeight="1" x14ac:dyDescent="0.2">
      <c r="A324" s="14" t="s">
        <v>284</v>
      </c>
      <c r="B324" s="18" t="s">
        <v>141</v>
      </c>
      <c r="C324" s="18" t="s">
        <v>140</v>
      </c>
      <c r="D324" s="18"/>
      <c r="E324" s="18"/>
      <c r="F324" s="57"/>
      <c r="G324" s="57"/>
      <c r="H324" s="57"/>
      <c r="I324" s="57">
        <v>1</v>
      </c>
      <c r="J324" s="57"/>
      <c r="K324" s="57"/>
      <c r="L324" s="57"/>
      <c r="M324" s="85">
        <v>2</v>
      </c>
      <c r="N324" s="58" t="s">
        <v>11</v>
      </c>
      <c r="O324" s="90"/>
    </row>
    <row r="325" spans="1:15" ht="15.75" customHeight="1" thickBot="1" x14ac:dyDescent="0.25">
      <c r="A325" s="20" t="s">
        <v>252</v>
      </c>
      <c r="B325" s="30" t="s">
        <v>142</v>
      </c>
      <c r="C325" s="30" t="s">
        <v>127</v>
      </c>
      <c r="D325" s="30"/>
      <c r="E325" s="30"/>
      <c r="F325" s="59"/>
      <c r="G325" s="59"/>
      <c r="H325" s="59"/>
      <c r="I325" s="59">
        <v>2</v>
      </c>
      <c r="J325" s="59"/>
      <c r="K325" s="59"/>
      <c r="L325" s="59"/>
      <c r="M325" s="59">
        <v>3</v>
      </c>
      <c r="N325" s="60" t="s">
        <v>7</v>
      </c>
      <c r="O325" s="90"/>
    </row>
    <row r="326" spans="1:15" ht="15.75" customHeight="1" x14ac:dyDescent="0.2">
      <c r="A326" s="123" t="s">
        <v>89</v>
      </c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28">
        <f>SUM(M313:M325)</f>
        <v>33</v>
      </c>
      <c r="N326" s="130"/>
      <c r="O326" s="90"/>
    </row>
    <row r="327" spans="1:15" ht="15.75" customHeight="1" x14ac:dyDescent="0.2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90"/>
    </row>
    <row r="328" spans="1:15" ht="15.75" customHeight="1" thickBot="1" x14ac:dyDescent="0.25">
      <c r="A328" s="406" t="s">
        <v>309</v>
      </c>
      <c r="B328" s="406"/>
      <c r="C328" s="406"/>
      <c r="D328" s="406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90"/>
    </row>
    <row r="329" spans="1:15" ht="15.75" customHeight="1" x14ac:dyDescent="0.2">
      <c r="A329" s="224" t="s">
        <v>269</v>
      </c>
      <c r="B329" s="215" t="s">
        <v>119</v>
      </c>
      <c r="C329" s="215" t="s">
        <v>69</v>
      </c>
      <c r="D329" s="215" t="s">
        <v>218</v>
      </c>
      <c r="E329" s="215" t="s">
        <v>20</v>
      </c>
      <c r="F329" s="216"/>
      <c r="G329" s="216"/>
      <c r="H329" s="216"/>
      <c r="I329" s="216"/>
      <c r="J329" s="216">
        <v>2</v>
      </c>
      <c r="K329" s="216"/>
      <c r="L329" s="216"/>
      <c r="M329" s="216">
        <v>2</v>
      </c>
      <c r="N329" s="250" t="s">
        <v>7</v>
      </c>
      <c r="O329" s="90"/>
    </row>
    <row r="330" spans="1:15" ht="15.75" customHeight="1" x14ac:dyDescent="0.2">
      <c r="A330" s="199" t="s">
        <v>268</v>
      </c>
      <c r="B330" s="201" t="s">
        <v>120</v>
      </c>
      <c r="C330" s="201" t="s">
        <v>69</v>
      </c>
      <c r="D330" s="201" t="s">
        <v>218</v>
      </c>
      <c r="E330" s="201" t="s">
        <v>20</v>
      </c>
      <c r="F330" s="209"/>
      <c r="G330" s="209"/>
      <c r="H330" s="209"/>
      <c r="I330" s="209"/>
      <c r="J330" s="209">
        <v>2</v>
      </c>
      <c r="K330" s="209"/>
      <c r="L330" s="209"/>
      <c r="M330" s="209">
        <v>3</v>
      </c>
      <c r="N330" s="211" t="s">
        <v>11</v>
      </c>
      <c r="O330" s="90"/>
    </row>
    <row r="331" spans="1:15" ht="15.75" customHeight="1" x14ac:dyDescent="0.2">
      <c r="A331" s="194" t="s">
        <v>280</v>
      </c>
      <c r="B331" s="201" t="s">
        <v>124</v>
      </c>
      <c r="C331" s="201" t="s">
        <v>83</v>
      </c>
      <c r="D331" s="201" t="s">
        <v>277</v>
      </c>
      <c r="E331" s="201" t="s">
        <v>20</v>
      </c>
      <c r="F331" s="209"/>
      <c r="G331" s="209"/>
      <c r="H331" s="209"/>
      <c r="I331" s="209">
        <v>2</v>
      </c>
      <c r="J331" s="209"/>
      <c r="K331" s="209"/>
      <c r="L331" s="209"/>
      <c r="M331" s="209">
        <v>2</v>
      </c>
      <c r="N331" s="211" t="s">
        <v>7</v>
      </c>
      <c r="O331" s="90"/>
    </row>
    <row r="332" spans="1:15" ht="15.75" customHeight="1" x14ac:dyDescent="0.2">
      <c r="A332" s="194" t="s">
        <v>279</v>
      </c>
      <c r="B332" s="201" t="s">
        <v>125</v>
      </c>
      <c r="C332" s="201" t="s">
        <v>83</v>
      </c>
      <c r="D332" s="201" t="s">
        <v>277</v>
      </c>
      <c r="E332" s="201" t="s">
        <v>20</v>
      </c>
      <c r="F332" s="209"/>
      <c r="G332" s="209"/>
      <c r="H332" s="209"/>
      <c r="I332" s="209">
        <v>1</v>
      </c>
      <c r="J332" s="209"/>
      <c r="K332" s="209"/>
      <c r="L332" s="209"/>
      <c r="M332" s="209">
        <v>2</v>
      </c>
      <c r="N332" s="211" t="s">
        <v>11</v>
      </c>
      <c r="O332" s="90"/>
    </row>
    <row r="333" spans="1:15" ht="15.75" customHeight="1" x14ac:dyDescent="0.2">
      <c r="A333" s="17" t="s">
        <v>222</v>
      </c>
      <c r="B333" s="18" t="s">
        <v>143</v>
      </c>
      <c r="C333" s="18" t="s">
        <v>144</v>
      </c>
      <c r="D333" s="81" t="s">
        <v>278</v>
      </c>
      <c r="E333" s="18" t="s">
        <v>20</v>
      </c>
      <c r="F333" s="57"/>
      <c r="G333" s="57"/>
      <c r="H333" s="57"/>
      <c r="I333" s="57"/>
      <c r="J333" s="57">
        <v>1</v>
      </c>
      <c r="K333" s="57"/>
      <c r="L333" s="57"/>
      <c r="M333" s="57">
        <v>1</v>
      </c>
      <c r="N333" s="58" t="s">
        <v>7</v>
      </c>
      <c r="O333" s="90"/>
    </row>
    <row r="334" spans="1:15" ht="15.75" customHeight="1" x14ac:dyDescent="0.2">
      <c r="A334" s="28" t="s">
        <v>223</v>
      </c>
      <c r="B334" s="18" t="s">
        <v>145</v>
      </c>
      <c r="C334" s="18" t="s">
        <v>144</v>
      </c>
      <c r="D334" s="81" t="s">
        <v>278</v>
      </c>
      <c r="E334" s="18" t="s">
        <v>20</v>
      </c>
      <c r="F334" s="57"/>
      <c r="G334" s="57"/>
      <c r="H334" s="57"/>
      <c r="I334" s="57"/>
      <c r="J334" s="57">
        <v>2</v>
      </c>
      <c r="K334" s="57"/>
      <c r="L334" s="57"/>
      <c r="M334" s="57">
        <v>2</v>
      </c>
      <c r="N334" s="58" t="s">
        <v>11</v>
      </c>
      <c r="O334" s="90"/>
    </row>
    <row r="335" spans="1:15" ht="15.75" customHeight="1" x14ac:dyDescent="0.2">
      <c r="A335" s="14" t="s">
        <v>227</v>
      </c>
      <c r="B335" s="18" t="s">
        <v>148</v>
      </c>
      <c r="C335" s="18" t="s">
        <v>66</v>
      </c>
      <c r="D335" s="81" t="s">
        <v>204</v>
      </c>
      <c r="E335" s="18" t="s">
        <v>20</v>
      </c>
      <c r="F335" s="57"/>
      <c r="G335" s="57"/>
      <c r="H335" s="57"/>
      <c r="I335" s="57"/>
      <c r="J335" s="57">
        <v>1</v>
      </c>
      <c r="K335" s="57"/>
      <c r="L335" s="57"/>
      <c r="M335" s="57">
        <v>1</v>
      </c>
      <c r="N335" s="58" t="s">
        <v>7</v>
      </c>
      <c r="O335" s="90"/>
    </row>
    <row r="336" spans="1:15" ht="15.75" customHeight="1" x14ac:dyDescent="0.2">
      <c r="A336" s="14" t="s">
        <v>228</v>
      </c>
      <c r="B336" s="18" t="s">
        <v>149</v>
      </c>
      <c r="C336" s="18" t="s">
        <v>66</v>
      </c>
      <c r="D336" s="81" t="s">
        <v>204</v>
      </c>
      <c r="E336" s="18" t="s">
        <v>20</v>
      </c>
      <c r="F336" s="57"/>
      <c r="G336" s="57"/>
      <c r="H336" s="57"/>
      <c r="I336" s="57"/>
      <c r="J336" s="57">
        <v>2</v>
      </c>
      <c r="K336" s="57"/>
      <c r="L336" s="57"/>
      <c r="M336" s="57">
        <v>2</v>
      </c>
      <c r="N336" s="58" t="s">
        <v>11</v>
      </c>
      <c r="O336" s="90"/>
    </row>
    <row r="337" spans="1:15" ht="15.75" customHeight="1" x14ac:dyDescent="0.2">
      <c r="A337" s="14" t="s">
        <v>231</v>
      </c>
      <c r="B337" s="18" t="s">
        <v>153</v>
      </c>
      <c r="C337" s="18" t="s">
        <v>63</v>
      </c>
      <c r="D337" s="18" t="s">
        <v>232</v>
      </c>
      <c r="E337" s="18" t="s">
        <v>20</v>
      </c>
      <c r="F337" s="57"/>
      <c r="G337" s="57"/>
      <c r="H337" s="57"/>
      <c r="I337" s="57"/>
      <c r="J337" s="57">
        <v>2</v>
      </c>
      <c r="K337" s="57"/>
      <c r="L337" s="57"/>
      <c r="M337" s="57">
        <v>3</v>
      </c>
      <c r="N337" s="58" t="s">
        <v>7</v>
      </c>
      <c r="O337" s="90"/>
    </row>
    <row r="338" spans="1:15" ht="15.75" customHeight="1" x14ac:dyDescent="0.2">
      <c r="A338" s="69" t="s">
        <v>333</v>
      </c>
      <c r="B338" s="18" t="s">
        <v>334</v>
      </c>
      <c r="C338" s="18" t="s">
        <v>336</v>
      </c>
      <c r="D338" s="18" t="s">
        <v>337</v>
      </c>
      <c r="E338" s="18" t="s">
        <v>84</v>
      </c>
      <c r="F338" s="57"/>
      <c r="G338" s="57"/>
      <c r="H338" s="57"/>
      <c r="I338" s="57"/>
      <c r="J338" s="57">
        <v>1</v>
      </c>
      <c r="K338" s="57"/>
      <c r="L338" s="57"/>
      <c r="M338" s="85">
        <v>1</v>
      </c>
      <c r="N338" s="58" t="s">
        <v>7</v>
      </c>
      <c r="O338" s="90" t="s">
        <v>329</v>
      </c>
    </row>
    <row r="339" spans="1:15" ht="15.75" customHeight="1" x14ac:dyDescent="0.2">
      <c r="A339" s="69" t="s">
        <v>335</v>
      </c>
      <c r="B339" s="18" t="s">
        <v>334</v>
      </c>
      <c r="C339" s="18" t="s">
        <v>336</v>
      </c>
      <c r="D339" s="18" t="s">
        <v>337</v>
      </c>
      <c r="E339" s="18" t="s">
        <v>84</v>
      </c>
      <c r="F339" s="57"/>
      <c r="G339" s="57"/>
      <c r="H339" s="57"/>
      <c r="I339" s="57"/>
      <c r="J339" s="57">
        <v>2</v>
      </c>
      <c r="K339" s="57"/>
      <c r="L339" s="57"/>
      <c r="M339" s="85">
        <v>2</v>
      </c>
      <c r="N339" s="58" t="s">
        <v>11</v>
      </c>
      <c r="O339" s="90" t="s">
        <v>329</v>
      </c>
    </row>
    <row r="340" spans="1:15" ht="15.75" customHeight="1" thickBot="1" x14ac:dyDescent="0.25">
      <c r="A340" s="24" t="s">
        <v>324</v>
      </c>
      <c r="B340" s="30" t="s">
        <v>325</v>
      </c>
      <c r="C340" s="30" t="s">
        <v>54</v>
      </c>
      <c r="D340" s="30"/>
      <c r="E340" s="30"/>
      <c r="F340" s="59">
        <v>2</v>
      </c>
      <c r="G340" s="59"/>
      <c r="H340" s="59"/>
      <c r="I340" s="59"/>
      <c r="J340" s="59"/>
      <c r="K340" s="59"/>
      <c r="L340" s="59"/>
      <c r="M340" s="59">
        <v>3</v>
      </c>
      <c r="N340" s="60" t="s">
        <v>7</v>
      </c>
      <c r="O340" s="155"/>
    </row>
    <row r="341" spans="1:15" ht="15.75" customHeight="1" x14ac:dyDescent="0.2">
      <c r="A341" s="123" t="s">
        <v>89</v>
      </c>
      <c r="B341" s="131"/>
      <c r="C341" s="131"/>
      <c r="D341" s="131"/>
      <c r="E341" s="131"/>
      <c r="F341" s="132"/>
      <c r="G341" s="132"/>
      <c r="H341" s="132"/>
      <c r="I341" s="132"/>
      <c r="J341" s="132"/>
      <c r="K341" s="132"/>
      <c r="L341" s="132"/>
      <c r="M341" s="133">
        <f>SUM(M329:M340)</f>
        <v>24</v>
      </c>
      <c r="N341" s="98"/>
      <c r="O341" s="90"/>
    </row>
    <row r="342" spans="1:15" ht="15.75" customHeight="1" x14ac:dyDescent="0.2">
      <c r="G342" s="62">
        <f t="shared" ref="G342:L342" si="0">SUM(G8:G25)+SUM(G31:G48)</f>
        <v>11</v>
      </c>
      <c r="H342" s="62">
        <f t="shared" si="0"/>
        <v>13</v>
      </c>
      <c r="I342" s="62">
        <f t="shared" si="0"/>
        <v>18</v>
      </c>
      <c r="J342" s="62">
        <f t="shared" si="0"/>
        <v>6</v>
      </c>
      <c r="K342" s="62">
        <f t="shared" si="0"/>
        <v>3</v>
      </c>
      <c r="L342" s="62">
        <f t="shared" si="0"/>
        <v>3</v>
      </c>
      <c r="O342" s="90"/>
    </row>
    <row r="343" spans="1:15" ht="15.75" customHeight="1" x14ac:dyDescent="0.2">
      <c r="A343" s="407" t="s">
        <v>358</v>
      </c>
      <c r="B343" s="407"/>
      <c r="C343" s="407"/>
      <c r="D343" s="407"/>
      <c r="E343" s="407"/>
      <c r="F343" s="407"/>
      <c r="G343" s="407"/>
      <c r="H343" s="407"/>
      <c r="I343" s="407"/>
      <c r="J343" s="407"/>
      <c r="K343" s="407"/>
      <c r="L343" s="407"/>
      <c r="M343" s="407"/>
      <c r="N343" s="407"/>
    </row>
    <row r="344" spans="1:15" ht="15.75" customHeight="1" x14ac:dyDescent="0.2">
      <c r="A344" s="381" t="s">
        <v>363</v>
      </c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</row>
    <row r="345" spans="1:15" ht="15.75" customHeight="1" thickBot="1" x14ac:dyDescent="0.25">
      <c r="A345" s="406" t="s">
        <v>362</v>
      </c>
      <c r="B345" s="406"/>
      <c r="C345" s="406"/>
      <c r="D345" s="406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</row>
    <row r="346" spans="1:15" ht="15.75" customHeight="1" x14ac:dyDescent="0.2">
      <c r="A346" s="184" t="s">
        <v>207</v>
      </c>
      <c r="B346" s="185" t="s">
        <v>106</v>
      </c>
      <c r="C346" s="243" t="s">
        <v>361</v>
      </c>
      <c r="D346" s="185" t="s">
        <v>107</v>
      </c>
      <c r="E346" s="185" t="s">
        <v>20</v>
      </c>
      <c r="F346" s="186"/>
      <c r="G346" s="186"/>
      <c r="H346" s="186"/>
      <c r="I346" s="186"/>
      <c r="J346" s="186">
        <v>2</v>
      </c>
      <c r="K346" s="186"/>
      <c r="L346" s="186"/>
      <c r="M346" s="221">
        <v>2</v>
      </c>
      <c r="N346" s="188" t="s">
        <v>7</v>
      </c>
    </row>
    <row r="347" spans="1:15" ht="15.75" customHeight="1" x14ac:dyDescent="0.2">
      <c r="A347" s="194" t="s">
        <v>208</v>
      </c>
      <c r="B347" s="190" t="s">
        <v>108</v>
      </c>
      <c r="C347" s="244" t="s">
        <v>361</v>
      </c>
      <c r="D347" s="190" t="s">
        <v>107</v>
      </c>
      <c r="E347" s="190" t="s">
        <v>20</v>
      </c>
      <c r="F347" s="191"/>
      <c r="G347" s="191"/>
      <c r="H347" s="191"/>
      <c r="I347" s="191"/>
      <c r="J347" s="191">
        <v>1</v>
      </c>
      <c r="K347" s="191"/>
      <c r="L347" s="191"/>
      <c r="M347" s="210">
        <v>2</v>
      </c>
      <c r="N347" s="193" t="s">
        <v>11</v>
      </c>
    </row>
    <row r="348" spans="1:15" ht="15.75" customHeight="1" x14ac:dyDescent="0.2">
      <c r="A348" s="227" t="s">
        <v>338</v>
      </c>
      <c r="B348" s="225" t="s">
        <v>339</v>
      </c>
      <c r="C348" s="225" t="s">
        <v>341</v>
      </c>
      <c r="D348" s="225"/>
      <c r="E348" s="225"/>
      <c r="F348" s="226"/>
      <c r="G348" s="226"/>
      <c r="H348" s="226"/>
      <c r="I348" s="226"/>
      <c r="J348" s="226"/>
      <c r="K348" s="226">
        <v>1</v>
      </c>
      <c r="L348" s="226"/>
      <c r="M348" s="245">
        <v>2</v>
      </c>
      <c r="N348" s="220" t="s">
        <v>7</v>
      </c>
    </row>
    <row r="349" spans="1:15" ht="15.75" customHeight="1" x14ac:dyDescent="0.2">
      <c r="A349" s="227" t="s">
        <v>343</v>
      </c>
      <c r="B349" s="225" t="s">
        <v>340</v>
      </c>
      <c r="C349" s="225" t="s">
        <v>341</v>
      </c>
      <c r="D349" s="225"/>
      <c r="E349" s="225"/>
      <c r="F349" s="226"/>
      <c r="G349" s="226"/>
      <c r="H349" s="226"/>
      <c r="I349" s="226"/>
      <c r="J349" s="226"/>
      <c r="K349" s="226">
        <v>2</v>
      </c>
      <c r="L349" s="226"/>
      <c r="M349" s="245">
        <v>2</v>
      </c>
      <c r="N349" s="220" t="s">
        <v>11</v>
      </c>
    </row>
    <row r="350" spans="1:15" ht="15.75" customHeight="1" x14ac:dyDescent="0.2">
      <c r="A350" s="14" t="s">
        <v>344</v>
      </c>
      <c r="B350" s="9" t="s">
        <v>346</v>
      </c>
      <c r="C350" s="9" t="s">
        <v>342</v>
      </c>
      <c r="D350" s="9"/>
      <c r="E350" s="9"/>
      <c r="F350" s="73"/>
      <c r="G350" s="73"/>
      <c r="H350" s="73"/>
      <c r="I350" s="73"/>
      <c r="J350" s="73">
        <v>1</v>
      </c>
      <c r="K350" s="73"/>
      <c r="L350" s="73"/>
      <c r="M350" s="134">
        <v>2</v>
      </c>
      <c r="N350" s="135" t="s">
        <v>7</v>
      </c>
    </row>
    <row r="351" spans="1:15" ht="15.75" customHeight="1" thickBot="1" x14ac:dyDescent="0.25">
      <c r="A351" s="24" t="s">
        <v>345</v>
      </c>
      <c r="B351" s="21" t="s">
        <v>347</v>
      </c>
      <c r="C351" s="21" t="s">
        <v>342</v>
      </c>
      <c r="D351" s="21"/>
      <c r="E351" s="21"/>
      <c r="F351" s="75"/>
      <c r="G351" s="75"/>
      <c r="H351" s="75"/>
      <c r="I351" s="75"/>
      <c r="J351" s="75">
        <v>2</v>
      </c>
      <c r="K351" s="75"/>
      <c r="L351" s="75"/>
      <c r="M351" s="136">
        <v>2</v>
      </c>
      <c r="N351" s="137" t="s">
        <v>11</v>
      </c>
    </row>
    <row r="352" spans="1:15" ht="15.75" customHeight="1" x14ac:dyDescent="0.2">
      <c r="A352" s="123" t="s">
        <v>89</v>
      </c>
      <c r="B352" s="124"/>
      <c r="C352" s="124"/>
      <c r="D352" s="124"/>
      <c r="E352" s="124"/>
      <c r="F352" s="125"/>
      <c r="G352" s="125"/>
      <c r="H352" s="125"/>
      <c r="I352" s="125"/>
      <c r="J352" s="125"/>
      <c r="K352" s="125"/>
      <c r="L352" s="125"/>
      <c r="M352" s="121">
        <f>SUM(M346:M351)</f>
        <v>12</v>
      </c>
      <c r="N352" s="99"/>
    </row>
    <row r="353" spans="1:15" ht="15.75" customHeight="1" x14ac:dyDescent="0.2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</row>
    <row r="354" spans="1:15" ht="15.75" customHeight="1" thickBot="1" x14ac:dyDescent="0.25">
      <c r="A354" s="406" t="s">
        <v>359</v>
      </c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90"/>
    </row>
    <row r="355" spans="1:15" ht="15.75" customHeight="1" x14ac:dyDescent="0.2">
      <c r="A355" s="13" t="s">
        <v>100</v>
      </c>
      <c r="B355" s="246" t="s">
        <v>101</v>
      </c>
      <c r="C355" s="54" t="s">
        <v>14</v>
      </c>
      <c r="D355" s="33" t="s">
        <v>103</v>
      </c>
      <c r="E355" s="33" t="s">
        <v>20</v>
      </c>
      <c r="F355" s="66"/>
      <c r="G355" s="66"/>
      <c r="H355" s="66"/>
      <c r="I355" s="66">
        <v>2</v>
      </c>
      <c r="J355" s="66"/>
      <c r="K355" s="66"/>
      <c r="L355" s="66"/>
      <c r="M355" s="109">
        <v>2</v>
      </c>
      <c r="N355" s="68" t="s">
        <v>7</v>
      </c>
    </row>
    <row r="356" spans="1:15" ht="15.75" customHeight="1" x14ac:dyDescent="0.2">
      <c r="A356" s="14" t="s">
        <v>104</v>
      </c>
      <c r="B356" s="233" t="s">
        <v>105</v>
      </c>
      <c r="C356" s="55" t="s">
        <v>14</v>
      </c>
      <c r="D356" s="6" t="s">
        <v>103</v>
      </c>
      <c r="E356" s="6" t="s">
        <v>20</v>
      </c>
      <c r="F356" s="70"/>
      <c r="G356" s="70"/>
      <c r="H356" s="70"/>
      <c r="I356" s="70">
        <v>2</v>
      </c>
      <c r="J356" s="70"/>
      <c r="K356" s="70"/>
      <c r="L356" s="70"/>
      <c r="M356" s="85">
        <v>3</v>
      </c>
      <c r="N356" s="72" t="s">
        <v>11</v>
      </c>
    </row>
    <row r="357" spans="1:15" ht="15.75" customHeight="1" x14ac:dyDescent="0.2">
      <c r="A357" s="14" t="s">
        <v>213</v>
      </c>
      <c r="B357" s="6" t="s">
        <v>112</v>
      </c>
      <c r="C357" s="6" t="s">
        <v>113</v>
      </c>
      <c r="D357" s="6"/>
      <c r="E357" s="6"/>
      <c r="F357" s="70"/>
      <c r="G357" s="70"/>
      <c r="H357" s="70">
        <v>2</v>
      </c>
      <c r="I357" s="70"/>
      <c r="J357" s="70"/>
      <c r="K357" s="70"/>
      <c r="L357" s="70"/>
      <c r="M357" s="85">
        <v>2</v>
      </c>
      <c r="N357" s="72" t="s">
        <v>7</v>
      </c>
    </row>
    <row r="358" spans="1:15" ht="15.75" customHeight="1" x14ac:dyDescent="0.2">
      <c r="A358" s="14" t="s">
        <v>214</v>
      </c>
      <c r="B358" s="6" t="s">
        <v>114</v>
      </c>
      <c r="C358" s="6" t="s">
        <v>113</v>
      </c>
      <c r="D358" s="6"/>
      <c r="E358" s="6"/>
      <c r="F358" s="70"/>
      <c r="G358" s="70"/>
      <c r="H358" s="70">
        <v>1</v>
      </c>
      <c r="I358" s="70"/>
      <c r="J358" s="70"/>
      <c r="K358" s="70"/>
      <c r="L358" s="70"/>
      <c r="M358" s="85">
        <v>2</v>
      </c>
      <c r="N358" s="72" t="s">
        <v>11</v>
      </c>
    </row>
    <row r="359" spans="1:15" ht="15.75" customHeight="1" x14ac:dyDescent="0.2">
      <c r="A359" s="14" t="s">
        <v>216</v>
      </c>
      <c r="B359" s="6" t="s">
        <v>116</v>
      </c>
      <c r="C359" s="6" t="s">
        <v>117</v>
      </c>
      <c r="D359" s="6"/>
      <c r="E359" s="6"/>
      <c r="F359" s="70"/>
      <c r="G359" s="70"/>
      <c r="H359" s="70"/>
      <c r="I359" s="70"/>
      <c r="J359" s="70">
        <v>2</v>
      </c>
      <c r="K359" s="70"/>
      <c r="L359" s="70"/>
      <c r="M359" s="85">
        <v>3</v>
      </c>
      <c r="N359" s="72" t="s">
        <v>7</v>
      </c>
    </row>
    <row r="360" spans="1:15" ht="15.75" customHeight="1" thickBot="1" x14ac:dyDescent="0.25">
      <c r="A360" s="238" t="s">
        <v>348</v>
      </c>
      <c r="B360" s="247" t="s">
        <v>349</v>
      </c>
      <c r="C360" s="247" t="s">
        <v>350</v>
      </c>
      <c r="D360" s="247"/>
      <c r="E360" s="247"/>
      <c r="F360" s="248"/>
      <c r="G360" s="248"/>
      <c r="H360" s="248">
        <v>2</v>
      </c>
      <c r="I360" s="248"/>
      <c r="J360" s="248"/>
      <c r="K360" s="248"/>
      <c r="L360" s="248"/>
      <c r="M360" s="248">
        <v>2</v>
      </c>
      <c r="N360" s="249" t="s">
        <v>11</v>
      </c>
    </row>
    <row r="361" spans="1:15" ht="15.75" customHeight="1" x14ac:dyDescent="0.2">
      <c r="A361" s="123" t="s">
        <v>89</v>
      </c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28">
        <f>SUM(M355:M360)</f>
        <v>14</v>
      </c>
      <c r="N361" s="129"/>
    </row>
    <row r="362" spans="1:15" ht="15.75" customHeight="1" x14ac:dyDescent="0.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</row>
    <row r="363" spans="1:15" ht="15.75" customHeight="1" x14ac:dyDescent="0.2">
      <c r="A363" s="381" t="s">
        <v>364</v>
      </c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</row>
    <row r="364" spans="1:15" ht="15.75" customHeight="1" thickBot="1" x14ac:dyDescent="0.25">
      <c r="A364" s="406" t="s">
        <v>389</v>
      </c>
      <c r="B364" s="406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</row>
    <row r="365" spans="1:15" ht="15.75" customHeight="1" x14ac:dyDescent="0.2">
      <c r="A365" s="22" t="s">
        <v>251</v>
      </c>
      <c r="B365" s="33" t="s">
        <v>158</v>
      </c>
      <c r="C365" s="33" t="s">
        <v>159</v>
      </c>
      <c r="D365" s="33"/>
      <c r="E365" s="33"/>
      <c r="F365" s="66"/>
      <c r="G365" s="66"/>
      <c r="H365" s="66"/>
      <c r="I365" s="66"/>
      <c r="J365" s="66">
        <v>2</v>
      </c>
      <c r="K365" s="66"/>
      <c r="L365" s="66"/>
      <c r="M365" s="67">
        <v>3</v>
      </c>
      <c r="N365" s="68" t="s">
        <v>11</v>
      </c>
    </row>
    <row r="366" spans="1:15" ht="15.75" customHeight="1" x14ac:dyDescent="0.2">
      <c r="A366" s="17" t="s">
        <v>330</v>
      </c>
      <c r="B366" s="6" t="s">
        <v>331</v>
      </c>
      <c r="C366" s="6" t="s">
        <v>159</v>
      </c>
      <c r="D366" s="6"/>
      <c r="E366" s="6"/>
      <c r="F366" s="70"/>
      <c r="G366" s="70"/>
      <c r="H366" s="70"/>
      <c r="I366" s="70">
        <v>1</v>
      </c>
      <c r="J366" s="70"/>
      <c r="K366" s="70"/>
      <c r="L366" s="70"/>
      <c r="M366" s="134">
        <v>1</v>
      </c>
      <c r="N366" s="72" t="s">
        <v>7</v>
      </c>
    </row>
    <row r="367" spans="1:15" ht="15.75" customHeight="1" x14ac:dyDescent="0.2">
      <c r="A367" s="17" t="s">
        <v>332</v>
      </c>
      <c r="B367" s="6" t="s">
        <v>331</v>
      </c>
      <c r="C367" s="6" t="s">
        <v>159</v>
      </c>
      <c r="D367" s="6"/>
      <c r="E367" s="6"/>
      <c r="F367" s="70"/>
      <c r="G367" s="70"/>
      <c r="H367" s="138"/>
      <c r="I367" s="70">
        <v>2</v>
      </c>
      <c r="J367" s="70"/>
      <c r="K367" s="70"/>
      <c r="L367" s="70"/>
      <c r="M367" s="84">
        <v>3</v>
      </c>
      <c r="N367" s="72" t="s">
        <v>11</v>
      </c>
    </row>
    <row r="368" spans="1:15" ht="15.75" customHeight="1" x14ac:dyDescent="0.2">
      <c r="A368" s="14" t="s">
        <v>351</v>
      </c>
      <c r="B368" s="9" t="s">
        <v>353</v>
      </c>
      <c r="C368" s="9" t="s">
        <v>159</v>
      </c>
      <c r="D368" s="9"/>
      <c r="E368" s="9"/>
      <c r="F368" s="73"/>
      <c r="G368" s="139"/>
      <c r="H368" s="51"/>
      <c r="I368" s="140">
        <v>1</v>
      </c>
      <c r="J368" s="73"/>
      <c r="K368" s="73"/>
      <c r="L368" s="73"/>
      <c r="M368" s="134">
        <v>1</v>
      </c>
      <c r="N368" s="135" t="s">
        <v>7</v>
      </c>
    </row>
    <row r="369" spans="1:14" ht="15.75" customHeight="1" x14ac:dyDescent="0.2">
      <c r="A369" s="14" t="s">
        <v>352</v>
      </c>
      <c r="B369" s="9" t="s">
        <v>354</v>
      </c>
      <c r="C369" s="9" t="s">
        <v>159</v>
      </c>
      <c r="D369" s="9"/>
      <c r="E369" s="9"/>
      <c r="F369" s="73"/>
      <c r="G369" s="139"/>
      <c r="H369" s="51"/>
      <c r="I369" s="140">
        <v>2</v>
      </c>
      <c r="J369" s="73"/>
      <c r="K369" s="73"/>
      <c r="L369" s="73"/>
      <c r="M369" s="134">
        <v>3</v>
      </c>
      <c r="N369" s="135" t="s">
        <v>11</v>
      </c>
    </row>
    <row r="370" spans="1:14" ht="15.75" customHeight="1" x14ac:dyDescent="0.2">
      <c r="A370" s="14" t="s">
        <v>355</v>
      </c>
      <c r="B370" s="9" t="s">
        <v>356</v>
      </c>
      <c r="C370" s="9" t="s">
        <v>357</v>
      </c>
      <c r="D370" s="9"/>
      <c r="E370" s="9"/>
      <c r="F370" s="73"/>
      <c r="G370" s="73"/>
      <c r="H370" s="141"/>
      <c r="I370" s="73"/>
      <c r="J370" s="73">
        <v>2</v>
      </c>
      <c r="K370" s="73"/>
      <c r="L370" s="73"/>
      <c r="M370" s="134">
        <v>3</v>
      </c>
      <c r="N370" s="135" t="s">
        <v>11</v>
      </c>
    </row>
    <row r="371" spans="1:14" ht="15.75" customHeight="1" x14ac:dyDescent="0.2">
      <c r="A371" s="194" t="s">
        <v>280</v>
      </c>
      <c r="B371" s="190" t="s">
        <v>124</v>
      </c>
      <c r="C371" s="190" t="s">
        <v>83</v>
      </c>
      <c r="D371" s="190" t="s">
        <v>277</v>
      </c>
      <c r="E371" s="190" t="s">
        <v>20</v>
      </c>
      <c r="F371" s="191"/>
      <c r="G371" s="191"/>
      <c r="H371" s="191"/>
      <c r="I371" s="191">
        <v>2</v>
      </c>
      <c r="J371" s="191"/>
      <c r="K371" s="191"/>
      <c r="L371" s="191"/>
      <c r="M371" s="191">
        <v>2</v>
      </c>
      <c r="N371" s="193" t="s">
        <v>7</v>
      </c>
    </row>
    <row r="372" spans="1:14" ht="15.75" customHeight="1" x14ac:dyDescent="0.2">
      <c r="A372" s="194" t="s">
        <v>279</v>
      </c>
      <c r="B372" s="190" t="s">
        <v>125</v>
      </c>
      <c r="C372" s="190" t="s">
        <v>83</v>
      </c>
      <c r="D372" s="190" t="s">
        <v>277</v>
      </c>
      <c r="E372" s="190" t="s">
        <v>20</v>
      </c>
      <c r="F372" s="191"/>
      <c r="G372" s="191"/>
      <c r="H372" s="191"/>
      <c r="I372" s="191">
        <v>1</v>
      </c>
      <c r="J372" s="191"/>
      <c r="K372" s="191"/>
      <c r="L372" s="191"/>
      <c r="M372" s="191">
        <v>2</v>
      </c>
      <c r="N372" s="193" t="s">
        <v>11</v>
      </c>
    </row>
    <row r="373" spans="1:14" ht="15.75" customHeight="1" thickBot="1" x14ac:dyDescent="0.25">
      <c r="A373" s="24" t="s">
        <v>415</v>
      </c>
      <c r="B373" s="30" t="s">
        <v>411</v>
      </c>
      <c r="C373" s="30" t="s">
        <v>56</v>
      </c>
      <c r="D373" s="30" t="s">
        <v>414</v>
      </c>
      <c r="E373" s="30"/>
      <c r="F373" s="59"/>
      <c r="G373" s="59"/>
      <c r="H373" s="59"/>
      <c r="I373" s="59"/>
      <c r="J373" s="59"/>
      <c r="K373" s="59">
        <v>2</v>
      </c>
      <c r="L373" s="59"/>
      <c r="M373" s="59">
        <v>3</v>
      </c>
      <c r="N373" s="60" t="s">
        <v>7</v>
      </c>
    </row>
    <row r="374" spans="1:14" ht="15.75" customHeight="1" x14ac:dyDescent="0.2">
      <c r="A374" s="123" t="s">
        <v>89</v>
      </c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3">
        <f>SUM(M365:M373)</f>
        <v>21</v>
      </c>
      <c r="N374" s="129"/>
    </row>
    <row r="375" spans="1:14" ht="15.75" customHeight="1" x14ac:dyDescent="0.2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spans="1:14" ht="15.75" customHeight="1" thickBot="1" x14ac:dyDescent="0.25">
      <c r="A376" s="406" t="s">
        <v>360</v>
      </c>
      <c r="B376" s="406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</row>
    <row r="377" spans="1:14" ht="15.75" customHeight="1" x14ac:dyDescent="0.2">
      <c r="A377" s="92" t="s">
        <v>409</v>
      </c>
      <c r="B377" s="144" t="s">
        <v>384</v>
      </c>
      <c r="C377" s="50" t="s">
        <v>159</v>
      </c>
      <c r="D377" s="23"/>
      <c r="E377" s="23"/>
      <c r="F377" s="78">
        <v>4</v>
      </c>
      <c r="G377" s="78"/>
      <c r="H377" s="78"/>
      <c r="I377" s="145"/>
      <c r="J377" s="146"/>
      <c r="K377" s="147"/>
      <c r="L377" s="78"/>
      <c r="M377" s="78">
        <v>4</v>
      </c>
      <c r="N377" s="79" t="s">
        <v>7</v>
      </c>
    </row>
    <row r="378" spans="1:14" ht="15.75" customHeight="1" x14ac:dyDescent="0.2">
      <c r="A378" s="69" t="s">
        <v>410</v>
      </c>
      <c r="B378" s="99" t="s">
        <v>385</v>
      </c>
      <c r="C378" s="49" t="s">
        <v>159</v>
      </c>
      <c r="D378" s="18"/>
      <c r="E378" s="18"/>
      <c r="F378" s="57">
        <v>4</v>
      </c>
      <c r="G378" s="57"/>
      <c r="H378" s="57"/>
      <c r="I378" s="148"/>
      <c r="J378" s="51"/>
      <c r="K378" s="149"/>
      <c r="L378" s="57"/>
      <c r="M378" s="57">
        <v>4</v>
      </c>
      <c r="N378" s="58" t="s">
        <v>11</v>
      </c>
    </row>
    <row r="379" spans="1:14" ht="15.75" customHeight="1" x14ac:dyDescent="0.2">
      <c r="A379" s="69" t="s">
        <v>366</v>
      </c>
      <c r="B379" s="18" t="s">
        <v>365</v>
      </c>
      <c r="C379" s="49" t="s">
        <v>368</v>
      </c>
      <c r="D379" s="18"/>
      <c r="E379" s="18"/>
      <c r="F379" s="57"/>
      <c r="G379" s="57"/>
      <c r="H379" s="57"/>
      <c r="I379" s="148"/>
      <c r="J379" s="51"/>
      <c r="K379" s="149"/>
      <c r="L379" s="57">
        <v>1</v>
      </c>
      <c r="M379" s="57">
        <v>2</v>
      </c>
      <c r="N379" s="58" t="s">
        <v>7</v>
      </c>
    </row>
    <row r="380" spans="1:14" ht="15.75" customHeight="1" x14ac:dyDescent="0.2">
      <c r="A380" s="93" t="s">
        <v>367</v>
      </c>
      <c r="B380" s="35" t="s">
        <v>365</v>
      </c>
      <c r="C380" s="51" t="s">
        <v>368</v>
      </c>
      <c r="D380" s="34"/>
      <c r="E380" s="18"/>
      <c r="F380" s="57"/>
      <c r="G380" s="57"/>
      <c r="H380" s="57"/>
      <c r="I380" s="148"/>
      <c r="J380" s="51"/>
      <c r="K380" s="149"/>
      <c r="L380" s="57">
        <v>1</v>
      </c>
      <c r="M380" s="57">
        <v>1</v>
      </c>
      <c r="N380" s="58" t="s">
        <v>11</v>
      </c>
    </row>
    <row r="381" spans="1:14" ht="15.75" customHeight="1" x14ac:dyDescent="0.2">
      <c r="A381" s="150" t="s">
        <v>377</v>
      </c>
      <c r="B381" s="151" t="s">
        <v>369</v>
      </c>
      <c r="C381" s="51" t="s">
        <v>382</v>
      </c>
      <c r="D381" s="18" t="s">
        <v>190</v>
      </c>
      <c r="E381" s="18"/>
      <c r="F381" s="57"/>
      <c r="G381" s="57"/>
      <c r="H381" s="57"/>
      <c r="I381" s="57"/>
      <c r="J381" s="152">
        <v>2</v>
      </c>
      <c r="K381" s="57"/>
      <c r="L381" s="57"/>
      <c r="M381" s="85">
        <v>3</v>
      </c>
      <c r="N381" s="58" t="s">
        <v>7</v>
      </c>
    </row>
    <row r="382" spans="1:14" ht="15.75" customHeight="1" x14ac:dyDescent="0.2">
      <c r="A382" s="150" t="s">
        <v>378</v>
      </c>
      <c r="B382" s="151" t="s">
        <v>370</v>
      </c>
      <c r="C382" s="51" t="s">
        <v>382</v>
      </c>
      <c r="D382" s="18" t="s">
        <v>190</v>
      </c>
      <c r="E382" s="18"/>
      <c r="F382" s="57"/>
      <c r="G382" s="57"/>
      <c r="H382" s="57"/>
      <c r="I382" s="57"/>
      <c r="J382" s="57">
        <v>2</v>
      </c>
      <c r="K382" s="57"/>
      <c r="L382" s="57"/>
      <c r="M382" s="57">
        <v>2</v>
      </c>
      <c r="N382" s="58" t="s">
        <v>11</v>
      </c>
    </row>
    <row r="383" spans="1:14" ht="15.75" customHeight="1" x14ac:dyDescent="0.2">
      <c r="A383" s="150" t="s">
        <v>379</v>
      </c>
      <c r="B383" s="151" t="s">
        <v>371</v>
      </c>
      <c r="C383" s="51" t="s">
        <v>383</v>
      </c>
      <c r="D383" s="153" t="s">
        <v>381</v>
      </c>
      <c r="E383" s="34" t="s">
        <v>20</v>
      </c>
      <c r="F383" s="57"/>
      <c r="G383" s="57"/>
      <c r="H383" s="57"/>
      <c r="I383" s="57"/>
      <c r="J383" s="57"/>
      <c r="K383" s="57">
        <v>2</v>
      </c>
      <c r="L383" s="57"/>
      <c r="M383" s="57">
        <v>2</v>
      </c>
      <c r="N383" s="58" t="s">
        <v>7</v>
      </c>
    </row>
    <row r="384" spans="1:14" ht="15.75" customHeight="1" x14ac:dyDescent="0.2">
      <c r="A384" s="150" t="s">
        <v>380</v>
      </c>
      <c r="B384" s="151" t="s">
        <v>371</v>
      </c>
      <c r="C384" s="51" t="s">
        <v>383</v>
      </c>
      <c r="D384" s="99" t="s">
        <v>381</v>
      </c>
      <c r="E384" s="18" t="s">
        <v>20</v>
      </c>
      <c r="F384" s="57"/>
      <c r="G384" s="57"/>
      <c r="H384" s="57"/>
      <c r="I384" s="57"/>
      <c r="J384" s="57"/>
      <c r="K384" s="57">
        <v>2</v>
      </c>
      <c r="L384" s="57"/>
      <c r="M384" s="57">
        <v>2</v>
      </c>
      <c r="N384" s="58" t="s">
        <v>11</v>
      </c>
    </row>
    <row r="385" spans="1:16" ht="15.75" customHeight="1" x14ac:dyDescent="0.2">
      <c r="A385" s="28" t="s">
        <v>372</v>
      </c>
      <c r="B385" s="52" t="s">
        <v>373</v>
      </c>
      <c r="C385" s="51" t="s">
        <v>374</v>
      </c>
      <c r="D385" s="34"/>
      <c r="E385" s="18"/>
      <c r="F385" s="57"/>
      <c r="G385" s="57"/>
      <c r="H385" s="57"/>
      <c r="I385" s="57"/>
      <c r="J385" s="57"/>
      <c r="K385" s="57">
        <v>2</v>
      </c>
      <c r="L385" s="57"/>
      <c r="M385" s="57">
        <v>2</v>
      </c>
      <c r="N385" s="58" t="s">
        <v>7</v>
      </c>
    </row>
    <row r="386" spans="1:16" ht="15.75" customHeight="1" x14ac:dyDescent="0.2">
      <c r="A386" s="17" t="s">
        <v>375</v>
      </c>
      <c r="B386" s="18" t="s">
        <v>397</v>
      </c>
      <c r="C386" s="53" t="s">
        <v>376</v>
      </c>
      <c r="D386" s="99"/>
      <c r="E386" s="18"/>
      <c r="F386" s="57"/>
      <c r="G386" s="57"/>
      <c r="H386" s="57"/>
      <c r="I386" s="57"/>
      <c r="J386" s="57">
        <v>2</v>
      </c>
      <c r="K386" s="57"/>
      <c r="L386" s="57"/>
      <c r="M386" s="57">
        <v>3</v>
      </c>
      <c r="N386" s="58" t="s">
        <v>7</v>
      </c>
    </row>
    <row r="387" spans="1:16" ht="15.75" customHeight="1" x14ac:dyDescent="0.2">
      <c r="A387" s="199" t="s">
        <v>269</v>
      </c>
      <c r="B387" s="190" t="s">
        <v>119</v>
      </c>
      <c r="C387" s="190" t="s">
        <v>69</v>
      </c>
      <c r="D387" s="190" t="s">
        <v>218</v>
      </c>
      <c r="E387" s="190" t="s">
        <v>20</v>
      </c>
      <c r="F387" s="191"/>
      <c r="G387" s="191"/>
      <c r="H387" s="191"/>
      <c r="I387" s="191"/>
      <c r="J387" s="191">
        <v>2</v>
      </c>
      <c r="K387" s="191"/>
      <c r="L387" s="191"/>
      <c r="M387" s="191">
        <v>2</v>
      </c>
      <c r="N387" s="193" t="s">
        <v>7</v>
      </c>
    </row>
    <row r="388" spans="1:16" ht="15.75" customHeight="1" x14ac:dyDescent="0.2">
      <c r="A388" s="199" t="s">
        <v>268</v>
      </c>
      <c r="B388" s="190" t="s">
        <v>120</v>
      </c>
      <c r="C388" s="190" t="s">
        <v>69</v>
      </c>
      <c r="D388" s="190" t="s">
        <v>218</v>
      </c>
      <c r="E388" s="190" t="s">
        <v>20</v>
      </c>
      <c r="F388" s="191"/>
      <c r="G388" s="191"/>
      <c r="H388" s="191"/>
      <c r="I388" s="191"/>
      <c r="J388" s="191">
        <v>2</v>
      </c>
      <c r="K388" s="191"/>
      <c r="L388" s="191"/>
      <c r="M388" s="191">
        <v>3</v>
      </c>
      <c r="N388" s="193" t="s">
        <v>11</v>
      </c>
    </row>
    <row r="389" spans="1:16" ht="15.75" customHeight="1" x14ac:dyDescent="0.2">
      <c r="A389" s="69" t="s">
        <v>327</v>
      </c>
      <c r="B389" s="6" t="s">
        <v>326</v>
      </c>
      <c r="C389" s="6" t="s">
        <v>328</v>
      </c>
      <c r="D389" s="6"/>
      <c r="E389" s="6"/>
      <c r="F389" s="70"/>
      <c r="G389" s="70"/>
      <c r="H389" s="70"/>
      <c r="I389" s="70"/>
      <c r="J389" s="70">
        <v>2</v>
      </c>
      <c r="K389" s="70"/>
      <c r="L389" s="70"/>
      <c r="M389" s="84">
        <v>3</v>
      </c>
      <c r="N389" s="72" t="s">
        <v>11</v>
      </c>
    </row>
    <row r="390" spans="1:16" ht="15.75" customHeight="1" x14ac:dyDescent="0.2">
      <c r="A390" s="217" t="s">
        <v>263</v>
      </c>
      <c r="B390" s="225" t="s">
        <v>129</v>
      </c>
      <c r="C390" s="225" t="s">
        <v>130</v>
      </c>
      <c r="D390" s="225" t="s">
        <v>60</v>
      </c>
      <c r="E390" s="225" t="s">
        <v>20</v>
      </c>
      <c r="F390" s="226"/>
      <c r="G390" s="226"/>
      <c r="H390" s="226"/>
      <c r="I390" s="226"/>
      <c r="J390" s="226"/>
      <c r="K390" s="226">
        <v>2</v>
      </c>
      <c r="L390" s="226"/>
      <c r="M390" s="226">
        <v>2</v>
      </c>
      <c r="N390" s="220" t="s">
        <v>7</v>
      </c>
    </row>
    <row r="391" spans="1:16" ht="15.75" customHeight="1" x14ac:dyDescent="0.2">
      <c r="A391" s="217" t="s">
        <v>262</v>
      </c>
      <c r="B391" s="225" t="s">
        <v>131</v>
      </c>
      <c r="C391" s="225" t="s">
        <v>130</v>
      </c>
      <c r="D391" s="225" t="s">
        <v>60</v>
      </c>
      <c r="E391" s="225" t="s">
        <v>20</v>
      </c>
      <c r="F391" s="226"/>
      <c r="G391" s="226"/>
      <c r="H391" s="226"/>
      <c r="I391" s="226"/>
      <c r="J391" s="226"/>
      <c r="K391" s="226">
        <v>1</v>
      </c>
      <c r="L391" s="226"/>
      <c r="M391" s="226">
        <v>2</v>
      </c>
      <c r="N391" s="220" t="s">
        <v>11</v>
      </c>
    </row>
    <row r="392" spans="1:16" ht="15.75" customHeight="1" x14ac:dyDescent="0.2">
      <c r="A392" s="17" t="s">
        <v>261</v>
      </c>
      <c r="B392" s="6" t="s">
        <v>132</v>
      </c>
      <c r="C392" s="6" t="s">
        <v>130</v>
      </c>
      <c r="D392" s="6" t="s">
        <v>60</v>
      </c>
      <c r="E392" s="6" t="s">
        <v>20</v>
      </c>
      <c r="F392" s="70"/>
      <c r="G392" s="70"/>
      <c r="H392" s="70"/>
      <c r="I392" s="70">
        <v>2</v>
      </c>
      <c r="J392" s="70"/>
      <c r="K392" s="70"/>
      <c r="L392" s="70"/>
      <c r="M392" s="70">
        <v>2</v>
      </c>
      <c r="N392" s="72" t="s">
        <v>7</v>
      </c>
    </row>
    <row r="393" spans="1:16" ht="15.75" customHeight="1" x14ac:dyDescent="0.2">
      <c r="A393" s="17" t="s">
        <v>260</v>
      </c>
      <c r="B393" s="6" t="s">
        <v>133</v>
      </c>
      <c r="C393" s="6" t="s">
        <v>130</v>
      </c>
      <c r="D393" s="6" t="s">
        <v>60</v>
      </c>
      <c r="E393" s="6" t="s">
        <v>20</v>
      </c>
      <c r="F393" s="70"/>
      <c r="G393" s="70"/>
      <c r="H393" s="70"/>
      <c r="I393" s="70">
        <v>1</v>
      </c>
      <c r="J393" s="70"/>
      <c r="K393" s="70"/>
      <c r="L393" s="70"/>
      <c r="M393" s="70">
        <v>2</v>
      </c>
      <c r="N393" s="72" t="s">
        <v>11</v>
      </c>
    </row>
    <row r="394" spans="1:16" ht="15.75" customHeight="1" x14ac:dyDescent="0.2">
      <c r="A394" s="14" t="s">
        <v>255</v>
      </c>
      <c r="B394" s="6" t="s">
        <v>138</v>
      </c>
      <c r="C394" s="6" t="s">
        <v>127</v>
      </c>
      <c r="D394" s="6"/>
      <c r="E394" s="6"/>
      <c r="F394" s="70"/>
      <c r="G394" s="70"/>
      <c r="H394" s="70"/>
      <c r="I394" s="70">
        <v>2</v>
      </c>
      <c r="J394" s="70"/>
      <c r="K394" s="70"/>
      <c r="L394" s="70"/>
      <c r="M394" s="70">
        <v>3</v>
      </c>
      <c r="N394" s="72" t="s">
        <v>7</v>
      </c>
    </row>
    <row r="395" spans="1:16" ht="15.75" customHeight="1" x14ac:dyDescent="0.2">
      <c r="A395" s="69" t="s">
        <v>333</v>
      </c>
      <c r="B395" s="18" t="s">
        <v>334</v>
      </c>
      <c r="C395" s="18" t="s">
        <v>336</v>
      </c>
      <c r="D395" s="18" t="s">
        <v>337</v>
      </c>
      <c r="E395" s="18" t="s">
        <v>84</v>
      </c>
      <c r="F395" s="57"/>
      <c r="G395" s="57"/>
      <c r="H395" s="57"/>
      <c r="I395" s="57"/>
      <c r="J395" s="57">
        <v>1</v>
      </c>
      <c r="K395" s="57"/>
      <c r="L395" s="57"/>
      <c r="M395" s="85">
        <v>1</v>
      </c>
      <c r="N395" s="58" t="s">
        <v>7</v>
      </c>
      <c r="O395" s="90" t="s">
        <v>329</v>
      </c>
    </row>
    <row r="396" spans="1:16" ht="15.75" customHeight="1" x14ac:dyDescent="0.2">
      <c r="A396" s="69" t="s">
        <v>335</v>
      </c>
      <c r="B396" s="18" t="s">
        <v>334</v>
      </c>
      <c r="C396" s="18" t="s">
        <v>336</v>
      </c>
      <c r="D396" s="18" t="s">
        <v>337</v>
      </c>
      <c r="E396" s="18" t="s">
        <v>84</v>
      </c>
      <c r="F396" s="57"/>
      <c r="G396" s="57"/>
      <c r="H396" s="57"/>
      <c r="I396" s="57"/>
      <c r="J396" s="57">
        <v>2</v>
      </c>
      <c r="K396" s="57"/>
      <c r="L396" s="57"/>
      <c r="M396" s="85">
        <v>2</v>
      </c>
      <c r="N396" s="58" t="s">
        <v>11</v>
      </c>
      <c r="O396" s="90" t="s">
        <v>329</v>
      </c>
    </row>
    <row r="397" spans="1:16" ht="15.75" customHeight="1" thickBot="1" x14ac:dyDescent="0.25">
      <c r="A397" s="20" t="s">
        <v>388</v>
      </c>
      <c r="B397" s="29" t="s">
        <v>387</v>
      </c>
      <c r="C397" s="29" t="s">
        <v>386</v>
      </c>
      <c r="D397" s="29"/>
      <c r="E397" s="29"/>
      <c r="F397" s="74"/>
      <c r="G397" s="74"/>
      <c r="H397" s="74"/>
      <c r="I397" s="74"/>
      <c r="J397" s="74"/>
      <c r="K397" s="74">
        <v>2</v>
      </c>
      <c r="L397" s="74"/>
      <c r="M397" s="74">
        <v>3</v>
      </c>
      <c r="N397" s="77" t="s">
        <v>7</v>
      </c>
    </row>
    <row r="398" spans="1:16" ht="15.75" customHeight="1" x14ac:dyDescent="0.2">
      <c r="A398" s="123" t="s">
        <v>89</v>
      </c>
      <c r="B398" s="131"/>
      <c r="C398" s="131"/>
      <c r="D398" s="131"/>
      <c r="E398" s="131"/>
      <c r="F398" s="132"/>
      <c r="G398" s="132"/>
      <c r="H398" s="132"/>
      <c r="I398" s="132"/>
      <c r="J398" s="132"/>
      <c r="K398" s="132"/>
      <c r="L398" s="132"/>
      <c r="M398" s="133">
        <f>SUM(M379:M397)</f>
        <v>42</v>
      </c>
      <c r="N398" s="98"/>
    </row>
    <row r="399" spans="1:16" ht="15.75" customHeight="1" x14ac:dyDescent="0.2"/>
    <row r="400" spans="1:16" ht="15.75" customHeight="1" thickBot="1" x14ac:dyDescent="0.25">
      <c r="A400" s="36" t="s">
        <v>412</v>
      </c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P400" s="62">
        <v>20</v>
      </c>
    </row>
    <row r="401" spans="1:16" ht="15.75" customHeight="1" x14ac:dyDescent="0.2">
      <c r="A401" s="37" t="s">
        <v>318</v>
      </c>
      <c r="B401" s="38" t="s">
        <v>310</v>
      </c>
      <c r="C401" s="38"/>
      <c r="D401" s="38"/>
      <c r="E401" s="38"/>
      <c r="F401" s="38"/>
      <c r="G401" s="38"/>
      <c r="H401" s="38"/>
      <c r="I401" s="38"/>
      <c r="J401" s="38"/>
      <c r="K401" s="38">
        <v>2</v>
      </c>
      <c r="L401" s="38"/>
      <c r="M401" s="39">
        <v>10</v>
      </c>
      <c r="N401" s="40" t="s">
        <v>11</v>
      </c>
    </row>
    <row r="402" spans="1:16" ht="15.75" customHeight="1" thickBot="1" x14ac:dyDescent="0.25">
      <c r="A402" s="41" t="s">
        <v>319</v>
      </c>
      <c r="B402" s="42" t="s">
        <v>311</v>
      </c>
      <c r="C402" s="42"/>
      <c r="D402" s="42"/>
      <c r="E402" s="42"/>
      <c r="F402" s="42"/>
      <c r="G402" s="42"/>
      <c r="H402" s="42"/>
      <c r="I402" s="42"/>
      <c r="J402" s="42"/>
      <c r="K402" s="42"/>
      <c r="L402" s="42">
        <v>4</v>
      </c>
      <c r="M402" s="43">
        <v>10</v>
      </c>
      <c r="N402" s="44" t="s">
        <v>11</v>
      </c>
    </row>
    <row r="403" spans="1:16" ht="15.75" customHeight="1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</row>
    <row r="404" spans="1:16" ht="15.75" customHeight="1" thickBot="1" x14ac:dyDescent="0.25">
      <c r="A404" s="402" t="s">
        <v>317</v>
      </c>
      <c r="B404" s="402"/>
      <c r="C404" s="402"/>
      <c r="D404" s="402"/>
      <c r="E404" s="402"/>
      <c r="F404" s="402"/>
      <c r="G404" s="402"/>
      <c r="H404" s="402"/>
      <c r="I404" s="402"/>
      <c r="J404" s="402"/>
      <c r="K404" s="402"/>
      <c r="L404" s="402"/>
      <c r="M404" s="402"/>
      <c r="N404" s="402"/>
      <c r="P404" s="62">
        <v>10</v>
      </c>
    </row>
    <row r="405" spans="1:16" ht="15.75" customHeight="1" thickBot="1" x14ac:dyDescent="0.25">
      <c r="A405" s="403" t="s">
        <v>312</v>
      </c>
      <c r="B405" s="404"/>
      <c r="C405" s="404"/>
      <c r="D405" s="404"/>
      <c r="E405" s="404"/>
      <c r="F405" s="404"/>
      <c r="G405" s="404"/>
      <c r="H405" s="404"/>
      <c r="I405" s="404"/>
      <c r="J405" s="404"/>
      <c r="K405" s="404"/>
      <c r="L405" s="404"/>
      <c r="M405" s="404"/>
      <c r="N405" s="405"/>
    </row>
    <row r="406" spans="1:16" ht="15.75" customHeight="1" x14ac:dyDescent="0.2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</row>
    <row r="407" spans="1:16" ht="15.75" customHeight="1" thickBot="1" x14ac:dyDescent="0.25">
      <c r="A407" s="402" t="s">
        <v>313</v>
      </c>
      <c r="B407" s="402"/>
      <c r="C407" s="402"/>
      <c r="D407" s="402"/>
      <c r="E407" s="402"/>
      <c r="F407" s="402"/>
      <c r="G407" s="402"/>
      <c r="H407" s="402"/>
      <c r="I407" s="402"/>
      <c r="J407" s="402"/>
      <c r="K407" s="402"/>
      <c r="L407" s="402"/>
      <c r="M407" s="402"/>
      <c r="N407" s="402"/>
    </row>
    <row r="408" spans="1:16" ht="15.75" customHeight="1" thickBot="1" x14ac:dyDescent="0.25">
      <c r="A408" s="46" t="s">
        <v>316</v>
      </c>
      <c r="B408" s="47" t="s">
        <v>314</v>
      </c>
      <c r="C408" s="47"/>
      <c r="D408" s="47"/>
      <c r="E408" s="47"/>
      <c r="F408" s="47">
        <v>320</v>
      </c>
      <c r="G408" s="47"/>
      <c r="H408" s="47"/>
      <c r="I408" s="47"/>
      <c r="J408" s="47"/>
      <c r="K408" s="47"/>
      <c r="L408" s="47"/>
      <c r="M408" s="47">
        <v>0</v>
      </c>
      <c r="N408" s="48" t="s">
        <v>315</v>
      </c>
    </row>
    <row r="409" spans="1:16" ht="15.75" customHeight="1" x14ac:dyDescent="0.2">
      <c r="A409" s="61"/>
      <c r="B409" s="61"/>
      <c r="C409" s="61"/>
      <c r="D409" s="61"/>
      <c r="E409" s="61"/>
      <c r="F409" s="154"/>
      <c r="G409" s="154"/>
      <c r="H409" s="154"/>
      <c r="I409" s="154"/>
      <c r="J409" s="154"/>
      <c r="K409" s="154"/>
      <c r="L409" s="154"/>
      <c r="M409" s="154"/>
      <c r="N409" s="61"/>
    </row>
    <row r="410" spans="1:16" ht="15.75" customHeight="1" x14ac:dyDescent="0.2">
      <c r="B410" s="155" t="s">
        <v>424</v>
      </c>
    </row>
    <row r="411" spans="1:16" ht="15.75" customHeight="1" x14ac:dyDescent="0.2">
      <c r="B411" s="155" t="s">
        <v>425</v>
      </c>
    </row>
    <row r="412" spans="1:16" ht="15.75" customHeight="1" x14ac:dyDescent="0.2">
      <c r="B412" s="155" t="s">
        <v>426</v>
      </c>
    </row>
    <row r="413" spans="1:16" ht="15.75" customHeight="1" x14ac:dyDescent="0.2">
      <c r="B413" s="155" t="s">
        <v>427</v>
      </c>
    </row>
    <row r="414" spans="1:16" ht="15.75" customHeight="1" x14ac:dyDescent="0.2">
      <c r="B414" s="155" t="s">
        <v>428</v>
      </c>
    </row>
    <row r="415" spans="1:16" ht="15.75" customHeight="1" x14ac:dyDescent="0.2">
      <c r="B415" s="155" t="s">
        <v>429</v>
      </c>
    </row>
    <row r="416" spans="1:16" ht="51" x14ac:dyDescent="0.2">
      <c r="B416" s="155" t="s">
        <v>430</v>
      </c>
    </row>
    <row r="417" spans="2:2" ht="15.75" customHeight="1" x14ac:dyDescent="0.2">
      <c r="B417" s="62" t="s">
        <v>449</v>
      </c>
    </row>
    <row r="418" spans="2:2" ht="15.75" customHeight="1" x14ac:dyDescent="0.2"/>
    <row r="419" spans="2:2" ht="15.75" customHeight="1" x14ac:dyDescent="0.2"/>
    <row r="420" spans="2:2" ht="15.75" customHeight="1" x14ac:dyDescent="0.2"/>
    <row r="421" spans="2:2" ht="15.75" customHeight="1" x14ac:dyDescent="0.2"/>
    <row r="422" spans="2:2" ht="15.75" customHeight="1" x14ac:dyDescent="0.2"/>
    <row r="423" spans="2:2" ht="15.75" customHeight="1" x14ac:dyDescent="0.2"/>
    <row r="424" spans="2:2" ht="15.75" customHeight="1" x14ac:dyDescent="0.2"/>
    <row r="425" spans="2:2" ht="15.75" customHeight="1" x14ac:dyDescent="0.2"/>
    <row r="426" spans="2:2" ht="15.75" customHeight="1" x14ac:dyDescent="0.2"/>
    <row r="427" spans="2:2" ht="15.75" customHeight="1" x14ac:dyDescent="0.2"/>
    <row r="428" spans="2:2" ht="15.75" customHeight="1" x14ac:dyDescent="0.2"/>
    <row r="429" spans="2:2" ht="15.75" customHeight="1" x14ac:dyDescent="0.2"/>
    <row r="430" spans="2:2" ht="15.75" customHeight="1" x14ac:dyDescent="0.2"/>
    <row r="431" spans="2:2" ht="15.75" customHeight="1" x14ac:dyDescent="0.2"/>
    <row r="432" spans="2: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</sheetData>
  <sortState xmlns:xlrd2="http://schemas.microsoft.com/office/spreadsheetml/2017/richdata2" ref="A103:O161">
    <sortCondition ref="O103:O161"/>
  </sortState>
  <mergeCells count="73">
    <mergeCell ref="A102:N102"/>
    <mergeCell ref="A163:N163"/>
    <mergeCell ref="A93:N93"/>
    <mergeCell ref="A100:D100"/>
    <mergeCell ref="E100:M100"/>
    <mergeCell ref="B230:M230"/>
    <mergeCell ref="B196:M196"/>
    <mergeCell ref="A161:D161"/>
    <mergeCell ref="E161:M161"/>
    <mergeCell ref="A198:N198"/>
    <mergeCell ref="A203:N203"/>
    <mergeCell ref="A174:N174"/>
    <mergeCell ref="A179:N179"/>
    <mergeCell ref="A178:N178"/>
    <mergeCell ref="A180:N180"/>
    <mergeCell ref="A202:N202"/>
    <mergeCell ref="A260:N260"/>
    <mergeCell ref="A284:N284"/>
    <mergeCell ref="A288:N288"/>
    <mergeCell ref="A245:N245"/>
    <mergeCell ref="A232:N232"/>
    <mergeCell ref="A236:N236"/>
    <mergeCell ref="A237:N237"/>
    <mergeCell ref="B244:M244"/>
    <mergeCell ref="B243:M243"/>
    <mergeCell ref="A238:N238"/>
    <mergeCell ref="A259:N259"/>
    <mergeCell ref="A407:N407"/>
    <mergeCell ref="A404:N404"/>
    <mergeCell ref="A405:N405"/>
    <mergeCell ref="A328:N328"/>
    <mergeCell ref="A289:N289"/>
    <mergeCell ref="A290:N290"/>
    <mergeCell ref="A297:N297"/>
    <mergeCell ref="A311:N311"/>
    <mergeCell ref="A312:N312"/>
    <mergeCell ref="A343:N343"/>
    <mergeCell ref="A376:N376"/>
    <mergeCell ref="A364:N364"/>
    <mergeCell ref="A363:N363"/>
    <mergeCell ref="A344:N344"/>
    <mergeCell ref="A345:N345"/>
    <mergeCell ref="A354:N354"/>
    <mergeCell ref="A1:N1"/>
    <mergeCell ref="C2:D2"/>
    <mergeCell ref="B3:B5"/>
    <mergeCell ref="A3:A5"/>
    <mergeCell ref="C3:C5"/>
    <mergeCell ref="D3:D5"/>
    <mergeCell ref="N3:N5"/>
    <mergeCell ref="E3:E5"/>
    <mergeCell ref="F5:L5"/>
    <mergeCell ref="F3:L3"/>
    <mergeCell ref="M3:M5"/>
    <mergeCell ref="A7:N7"/>
    <mergeCell ref="A49:B49"/>
    <mergeCell ref="C49:E49"/>
    <mergeCell ref="F49:M49"/>
    <mergeCell ref="A67:N67"/>
    <mergeCell ref="A53:N53"/>
    <mergeCell ref="A26:C26"/>
    <mergeCell ref="A91:D91"/>
    <mergeCell ref="E91:M91"/>
    <mergeCell ref="D26:M26"/>
    <mergeCell ref="A30:N30"/>
    <mergeCell ref="A65:N65"/>
    <mergeCell ref="O88:O89"/>
    <mergeCell ref="P4:P5"/>
    <mergeCell ref="Q4:Q5"/>
    <mergeCell ref="R4:R5"/>
    <mergeCell ref="O41:O42"/>
    <mergeCell ref="O3:O5"/>
    <mergeCell ref="O14:O15"/>
  </mergeCells>
  <conditionalFormatting sqref="O163:O177">
    <cfRule type="cellIs" dxfId="2" priority="7" operator="equal">
      <formula>"N"</formula>
    </cfRule>
    <cfRule type="cellIs" dxfId="1" priority="8" operator="equal">
      <formula>"S"</formula>
    </cfRule>
    <cfRule type="cellIs" dxfId="0" priority="9" operator="equal">
      <formula>"A"</formula>
    </cfRule>
  </conditionalFormatting>
  <printOptions horizontalCentered="1"/>
  <pageMargins left="0.70866141732283472" right="0.70866141732283472" top="0.74803149606299213" bottom="0.74803149606299213" header="0" footer="0"/>
  <pageSetup paperSize="9" scale="48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0591-0A2F-4180-B293-AAF6E71D0866}">
  <dimension ref="A1:R45"/>
  <sheetViews>
    <sheetView topLeftCell="A4" workbookViewId="0">
      <selection activeCell="K41" sqref="K41"/>
    </sheetView>
  </sheetViews>
  <sheetFormatPr defaultRowHeight="12.75" x14ac:dyDescent="0.2"/>
  <cols>
    <col min="1" max="1" width="12.7109375" bestFit="1" customWidth="1"/>
    <col min="2" max="2" width="47.140625" bestFit="1" customWidth="1"/>
    <col min="3" max="3" width="12.140625" bestFit="1" customWidth="1"/>
    <col min="4" max="4" width="24.140625" bestFit="1" customWidth="1"/>
    <col min="5" max="5" width="48.140625" bestFit="1" customWidth="1"/>
    <col min="6" max="9" width="11.140625" customWidth="1"/>
    <col min="10" max="13" width="12.140625" customWidth="1"/>
    <col min="14" max="14" width="16" bestFit="1" customWidth="1"/>
    <col min="15" max="15" width="13.5703125" bestFit="1" customWidth="1"/>
  </cols>
  <sheetData>
    <row r="1" spans="1:18" ht="13.5" thickBot="1" x14ac:dyDescent="0.25">
      <c r="A1" s="383" t="s">
        <v>168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90"/>
      <c r="P1" s="62"/>
      <c r="Q1" s="62"/>
      <c r="R1" s="62"/>
    </row>
    <row r="2" spans="1:18" ht="13.5" thickBot="1" x14ac:dyDescent="0.25">
      <c r="A2" s="1" t="s">
        <v>169</v>
      </c>
      <c r="B2" s="2" t="s">
        <v>170</v>
      </c>
      <c r="C2" s="384" t="s">
        <v>171</v>
      </c>
      <c r="D2" s="385"/>
      <c r="E2" s="3" t="s">
        <v>174</v>
      </c>
      <c r="F2" s="63" t="s">
        <v>175</v>
      </c>
      <c r="G2" s="64"/>
      <c r="H2" s="64"/>
      <c r="I2" s="64"/>
      <c r="J2" s="64"/>
      <c r="K2" s="64"/>
      <c r="L2" s="64"/>
      <c r="M2" s="64"/>
      <c r="N2" s="65"/>
      <c r="O2" s="90"/>
      <c r="P2" s="62"/>
      <c r="Q2" s="62"/>
      <c r="R2" s="62"/>
    </row>
    <row r="3" spans="1:18" x14ac:dyDescent="0.2">
      <c r="A3" s="389" t="s">
        <v>172</v>
      </c>
      <c r="B3" s="386" t="s">
        <v>1</v>
      </c>
      <c r="C3" s="386" t="s">
        <v>2</v>
      </c>
      <c r="D3" s="386" t="s">
        <v>173</v>
      </c>
      <c r="E3" s="395" t="s">
        <v>413</v>
      </c>
      <c r="F3" s="400" t="s">
        <v>3</v>
      </c>
      <c r="G3" s="401"/>
      <c r="H3" s="401"/>
      <c r="I3" s="401"/>
      <c r="J3" s="401"/>
      <c r="K3" s="401"/>
      <c r="L3" s="424"/>
      <c r="M3" s="386" t="s">
        <v>176</v>
      </c>
      <c r="N3" s="392" t="s">
        <v>177</v>
      </c>
      <c r="O3" s="368" t="s">
        <v>323</v>
      </c>
      <c r="P3" s="62"/>
      <c r="Q3" s="62"/>
      <c r="R3" s="62"/>
    </row>
    <row r="4" spans="1:18" x14ac:dyDescent="0.2">
      <c r="A4" s="390"/>
      <c r="B4" s="387"/>
      <c r="C4" s="387"/>
      <c r="D4" s="387"/>
      <c r="E4" s="396"/>
      <c r="F4" s="4">
        <v>0</v>
      </c>
      <c r="G4" s="4">
        <v>1</v>
      </c>
      <c r="H4" s="4">
        <v>2</v>
      </c>
      <c r="I4" s="4">
        <v>3</v>
      </c>
      <c r="J4" s="4">
        <v>4</v>
      </c>
      <c r="K4" s="4">
        <v>5</v>
      </c>
      <c r="L4" s="4">
        <v>6</v>
      </c>
      <c r="M4" s="387"/>
      <c r="N4" s="393"/>
      <c r="O4" s="368"/>
      <c r="P4" s="365" t="s">
        <v>176</v>
      </c>
      <c r="Q4" s="365" t="s">
        <v>469</v>
      </c>
      <c r="R4" s="366" t="s">
        <v>475</v>
      </c>
    </row>
    <row r="5" spans="1:18" ht="13.5" thickBot="1" x14ac:dyDescent="0.25">
      <c r="A5" s="391"/>
      <c r="B5" s="388"/>
      <c r="C5" s="388"/>
      <c r="D5" s="388"/>
      <c r="E5" s="397"/>
      <c r="F5" s="398" t="s">
        <v>4</v>
      </c>
      <c r="G5" s="399"/>
      <c r="H5" s="399"/>
      <c r="I5" s="399"/>
      <c r="J5" s="399"/>
      <c r="K5" s="399"/>
      <c r="L5" s="422"/>
      <c r="M5" s="388"/>
      <c r="N5" s="394"/>
      <c r="O5" s="368"/>
      <c r="P5" s="365"/>
      <c r="Q5" s="365"/>
      <c r="R5" s="366"/>
    </row>
    <row r="7" spans="1:18" x14ac:dyDescent="0.2">
      <c r="A7" s="322" t="s">
        <v>172</v>
      </c>
      <c r="B7" s="323" t="s">
        <v>491</v>
      </c>
      <c r="C7" s="323" t="s">
        <v>487</v>
      </c>
      <c r="D7" s="323" t="s">
        <v>488</v>
      </c>
      <c r="E7" s="323" t="s">
        <v>489</v>
      </c>
      <c r="F7" s="324" t="s">
        <v>502</v>
      </c>
      <c r="G7" s="324" t="s">
        <v>501</v>
      </c>
      <c r="H7" s="324" t="s">
        <v>500</v>
      </c>
      <c r="I7" s="324" t="s">
        <v>499</v>
      </c>
      <c r="J7" s="324" t="s">
        <v>498</v>
      </c>
      <c r="K7" s="324" t="s">
        <v>497</v>
      </c>
      <c r="L7" s="324" t="s">
        <v>496</v>
      </c>
      <c r="M7" s="325" t="s">
        <v>176</v>
      </c>
      <c r="N7" s="326" t="s">
        <v>490</v>
      </c>
    </row>
    <row r="8" spans="1:18" x14ac:dyDescent="0.2">
      <c r="A8" s="320" t="s">
        <v>94</v>
      </c>
      <c r="B8" s="278" t="s">
        <v>95</v>
      </c>
      <c r="C8" s="278" t="s">
        <v>96</v>
      </c>
      <c r="D8" s="278" t="s">
        <v>97</v>
      </c>
      <c r="E8" s="278" t="s">
        <v>20</v>
      </c>
      <c r="F8" s="279"/>
      <c r="G8" s="279"/>
      <c r="H8" s="279"/>
      <c r="I8" s="279">
        <v>2</v>
      </c>
      <c r="J8" s="279"/>
      <c r="K8" s="279"/>
      <c r="L8" s="279"/>
      <c r="M8" s="280">
        <v>2</v>
      </c>
      <c r="N8" s="321" t="s">
        <v>7</v>
      </c>
    </row>
    <row r="9" spans="1:18" x14ac:dyDescent="0.2">
      <c r="A9" s="327" t="s">
        <v>98</v>
      </c>
      <c r="B9" s="328" t="s">
        <v>99</v>
      </c>
      <c r="C9" s="328" t="s">
        <v>96</v>
      </c>
      <c r="D9" s="328" t="s">
        <v>97</v>
      </c>
      <c r="E9" s="328" t="s">
        <v>20</v>
      </c>
      <c r="F9" s="329"/>
      <c r="G9" s="329"/>
      <c r="H9" s="329"/>
      <c r="I9" s="329">
        <v>2</v>
      </c>
      <c r="J9" s="329"/>
      <c r="K9" s="329"/>
      <c r="L9" s="329"/>
      <c r="M9" s="330">
        <v>3</v>
      </c>
      <c r="N9" s="331" t="s">
        <v>11</v>
      </c>
    </row>
    <row r="10" spans="1:18" x14ac:dyDescent="0.2">
      <c r="A10" s="320" t="s">
        <v>338</v>
      </c>
      <c r="B10" s="278" t="s">
        <v>339</v>
      </c>
      <c r="C10" s="278" t="s">
        <v>341</v>
      </c>
      <c r="D10" s="278"/>
      <c r="E10" s="278"/>
      <c r="F10" s="279"/>
      <c r="G10" s="279"/>
      <c r="H10" s="279"/>
      <c r="I10" s="279"/>
      <c r="J10" s="279"/>
      <c r="K10" s="279">
        <v>1</v>
      </c>
      <c r="L10" s="279"/>
      <c r="M10" s="280">
        <v>2</v>
      </c>
      <c r="N10" s="321" t="s">
        <v>7</v>
      </c>
    </row>
    <row r="11" spans="1:18" x14ac:dyDescent="0.2">
      <c r="A11" s="327" t="s">
        <v>343</v>
      </c>
      <c r="B11" s="328" t="s">
        <v>340</v>
      </c>
      <c r="C11" s="328" t="s">
        <v>341</v>
      </c>
      <c r="D11" s="328"/>
      <c r="E11" s="328"/>
      <c r="F11" s="329"/>
      <c r="G11" s="329"/>
      <c r="H11" s="329"/>
      <c r="I11" s="329"/>
      <c r="J11" s="329"/>
      <c r="K11" s="329">
        <v>2</v>
      </c>
      <c r="L11" s="329"/>
      <c r="M11" s="330">
        <v>2</v>
      </c>
      <c r="N11" s="331" t="s">
        <v>11</v>
      </c>
    </row>
    <row r="12" spans="1:18" x14ac:dyDescent="0.2">
      <c r="A12" s="423" t="s">
        <v>492</v>
      </c>
      <c r="B12" s="423"/>
      <c r="C12" s="423"/>
      <c r="D12" s="423"/>
      <c r="E12" s="423"/>
      <c r="F12" s="423"/>
      <c r="G12" s="423"/>
      <c r="H12" s="423"/>
      <c r="I12" s="423"/>
      <c r="J12" s="423"/>
      <c r="K12" s="423"/>
      <c r="L12" s="423"/>
      <c r="M12" s="423"/>
      <c r="N12" s="423"/>
    </row>
    <row r="13" spans="1:18" x14ac:dyDescent="0.2">
      <c r="A13" s="423" t="s">
        <v>493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3"/>
    </row>
    <row r="14" spans="1:18" x14ac:dyDescent="0.2">
      <c r="A14" s="289" t="s">
        <v>219</v>
      </c>
      <c r="B14" s="284" t="s">
        <v>220</v>
      </c>
      <c r="C14" s="284" t="s">
        <v>136</v>
      </c>
      <c r="D14" s="284"/>
      <c r="E14" s="284"/>
      <c r="F14" s="285"/>
      <c r="G14" s="285"/>
      <c r="H14" s="285"/>
      <c r="I14" s="285">
        <v>2</v>
      </c>
      <c r="J14" s="285"/>
      <c r="K14" s="285"/>
      <c r="L14" s="285"/>
      <c r="M14" s="286">
        <v>3</v>
      </c>
      <c r="N14" s="290" t="s">
        <v>221</v>
      </c>
    </row>
    <row r="15" spans="1:18" x14ac:dyDescent="0.2">
      <c r="A15" s="277" t="s">
        <v>227</v>
      </c>
      <c r="B15" s="284" t="s">
        <v>148</v>
      </c>
      <c r="C15" s="284" t="s">
        <v>66</v>
      </c>
      <c r="D15" s="288" t="s">
        <v>204</v>
      </c>
      <c r="E15" s="284" t="s">
        <v>20</v>
      </c>
      <c r="F15" s="285"/>
      <c r="G15" s="285"/>
      <c r="H15" s="285"/>
      <c r="I15" s="285">
        <v>1</v>
      </c>
      <c r="J15" s="285"/>
      <c r="K15" s="285"/>
      <c r="L15" s="285"/>
      <c r="M15" s="285">
        <v>1</v>
      </c>
      <c r="N15" s="281" t="s">
        <v>7</v>
      </c>
    </row>
    <row r="16" spans="1:18" x14ac:dyDescent="0.2">
      <c r="A16" s="277" t="s">
        <v>228</v>
      </c>
      <c r="B16" s="284" t="s">
        <v>149</v>
      </c>
      <c r="C16" s="284" t="s">
        <v>66</v>
      </c>
      <c r="D16" s="288" t="s">
        <v>204</v>
      </c>
      <c r="E16" s="284" t="s">
        <v>20</v>
      </c>
      <c r="F16" s="285"/>
      <c r="G16" s="285"/>
      <c r="H16" s="285"/>
      <c r="I16" s="285">
        <v>2</v>
      </c>
      <c r="J16" s="285"/>
      <c r="K16" s="285"/>
      <c r="L16" s="285"/>
      <c r="M16" s="285">
        <v>2</v>
      </c>
      <c r="N16" s="281" t="s">
        <v>11</v>
      </c>
    </row>
    <row r="17" spans="1:14" x14ac:dyDescent="0.2">
      <c r="A17" s="289" t="s">
        <v>261</v>
      </c>
      <c r="B17" s="284" t="s">
        <v>132</v>
      </c>
      <c r="C17" s="284" t="s">
        <v>130</v>
      </c>
      <c r="D17" s="284" t="s">
        <v>60</v>
      </c>
      <c r="E17" s="284" t="s">
        <v>20</v>
      </c>
      <c r="F17" s="285"/>
      <c r="G17" s="285"/>
      <c r="H17" s="285"/>
      <c r="I17" s="285">
        <v>2</v>
      </c>
      <c r="J17" s="285"/>
      <c r="K17" s="285"/>
      <c r="L17" s="285"/>
      <c r="M17" s="285">
        <v>2</v>
      </c>
      <c r="N17" s="281" t="s">
        <v>7</v>
      </c>
    </row>
    <row r="18" spans="1:14" x14ac:dyDescent="0.2">
      <c r="A18" s="289" t="s">
        <v>260</v>
      </c>
      <c r="B18" s="284" t="s">
        <v>133</v>
      </c>
      <c r="C18" s="284" t="s">
        <v>130</v>
      </c>
      <c r="D18" s="284" t="s">
        <v>60</v>
      </c>
      <c r="E18" s="284" t="s">
        <v>20</v>
      </c>
      <c r="F18" s="285"/>
      <c r="G18" s="285"/>
      <c r="H18" s="285"/>
      <c r="I18" s="285">
        <v>1</v>
      </c>
      <c r="J18" s="285"/>
      <c r="K18" s="285"/>
      <c r="L18" s="285"/>
      <c r="M18" s="285">
        <v>2</v>
      </c>
      <c r="N18" s="281" t="s">
        <v>11</v>
      </c>
    </row>
    <row r="22" spans="1:14" x14ac:dyDescent="0.2">
      <c r="A22" s="425" t="s">
        <v>494</v>
      </c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25"/>
      <c r="N22" s="425"/>
    </row>
    <row r="23" spans="1:14" x14ac:dyDescent="0.2">
      <c r="A23" s="332" t="s">
        <v>233</v>
      </c>
      <c r="B23" s="333" t="s">
        <v>154</v>
      </c>
      <c r="C23" s="333" t="s">
        <v>80</v>
      </c>
      <c r="D23" s="333" t="s">
        <v>276</v>
      </c>
      <c r="E23" s="333" t="s">
        <v>20</v>
      </c>
      <c r="F23" s="334"/>
      <c r="G23" s="334"/>
      <c r="H23" s="334"/>
      <c r="I23" s="334"/>
      <c r="J23" s="334"/>
      <c r="K23" s="334">
        <v>2</v>
      </c>
      <c r="L23" s="334"/>
      <c r="M23" s="335">
        <v>2</v>
      </c>
      <c r="N23" s="336" t="s">
        <v>7</v>
      </c>
    </row>
    <row r="24" spans="1:14" x14ac:dyDescent="0.2">
      <c r="A24" s="332" t="s">
        <v>234</v>
      </c>
      <c r="B24" s="333" t="s">
        <v>155</v>
      </c>
      <c r="C24" s="333" t="s">
        <v>80</v>
      </c>
      <c r="D24" s="333" t="s">
        <v>276</v>
      </c>
      <c r="E24" s="333" t="s">
        <v>20</v>
      </c>
      <c r="F24" s="334"/>
      <c r="G24" s="334"/>
      <c r="H24" s="334"/>
      <c r="I24" s="334"/>
      <c r="J24" s="334"/>
      <c r="K24" s="334">
        <v>2</v>
      </c>
      <c r="L24" s="334"/>
      <c r="M24" s="335">
        <v>3</v>
      </c>
      <c r="N24" s="336" t="s">
        <v>11</v>
      </c>
    </row>
    <row r="25" spans="1:14" x14ac:dyDescent="0.2">
      <c r="A25" s="332" t="s">
        <v>435</v>
      </c>
      <c r="B25" s="333" t="s">
        <v>441</v>
      </c>
      <c r="C25" s="333" t="s">
        <v>350</v>
      </c>
      <c r="D25" s="333"/>
      <c r="E25" s="333"/>
      <c r="F25" s="334"/>
      <c r="G25" s="334"/>
      <c r="H25" s="334"/>
      <c r="I25" s="334"/>
      <c r="J25" s="334">
        <v>2</v>
      </c>
      <c r="K25" s="334"/>
      <c r="L25" s="334"/>
      <c r="M25" s="334">
        <v>3</v>
      </c>
      <c r="N25" s="336" t="s">
        <v>11</v>
      </c>
    </row>
    <row r="26" spans="1:14" x14ac:dyDescent="0.2">
      <c r="A26" s="17" t="s">
        <v>422</v>
      </c>
      <c r="B26" s="18" t="s">
        <v>394</v>
      </c>
      <c r="C26" s="18" t="s">
        <v>159</v>
      </c>
      <c r="D26" s="18"/>
      <c r="E26" s="18"/>
      <c r="F26" s="57"/>
      <c r="G26" s="57"/>
      <c r="H26" s="57"/>
      <c r="I26" s="57"/>
      <c r="J26" s="57">
        <v>2</v>
      </c>
      <c r="K26" s="57"/>
      <c r="L26" s="57"/>
      <c r="M26" s="89">
        <v>3</v>
      </c>
      <c r="N26" s="58" t="s">
        <v>7</v>
      </c>
    </row>
    <row r="27" spans="1:14" x14ac:dyDescent="0.2">
      <c r="A27" s="69" t="s">
        <v>330</v>
      </c>
      <c r="B27" s="18" t="s">
        <v>331</v>
      </c>
      <c r="C27" s="18" t="s">
        <v>159</v>
      </c>
      <c r="D27" s="18"/>
      <c r="E27" s="18"/>
      <c r="F27" s="57"/>
      <c r="G27" s="57"/>
      <c r="H27" s="57"/>
      <c r="I27" s="57">
        <v>1</v>
      </c>
      <c r="J27" s="57"/>
      <c r="K27" s="57"/>
      <c r="L27" s="57"/>
      <c r="M27" s="85">
        <v>1</v>
      </c>
      <c r="N27" s="58" t="s">
        <v>7</v>
      </c>
    </row>
    <row r="28" spans="1:14" x14ac:dyDescent="0.2">
      <c r="A28" s="69" t="s">
        <v>396</v>
      </c>
      <c r="B28" s="18" t="s">
        <v>331</v>
      </c>
      <c r="C28" s="18" t="s">
        <v>159</v>
      </c>
      <c r="D28" s="18"/>
      <c r="E28" s="18"/>
      <c r="F28" s="57"/>
      <c r="G28" s="57"/>
      <c r="H28" s="57"/>
      <c r="I28" s="57">
        <v>2</v>
      </c>
      <c r="J28" s="57"/>
      <c r="K28" s="57"/>
      <c r="L28" s="57"/>
      <c r="M28" s="85">
        <v>3</v>
      </c>
      <c r="N28" s="58" t="s">
        <v>11</v>
      </c>
    </row>
    <row r="29" spans="1:14" x14ac:dyDescent="0.2">
      <c r="A29" s="17" t="s">
        <v>239</v>
      </c>
      <c r="B29" s="18" t="s">
        <v>163</v>
      </c>
      <c r="C29" s="18" t="s">
        <v>164</v>
      </c>
      <c r="D29" s="18"/>
      <c r="E29" s="18"/>
      <c r="F29" s="57"/>
      <c r="G29" s="57"/>
      <c r="H29" s="57"/>
      <c r="I29" s="57">
        <v>2</v>
      </c>
      <c r="J29" s="57"/>
      <c r="K29" s="57"/>
      <c r="L29" s="57"/>
      <c r="M29" s="57">
        <v>3</v>
      </c>
      <c r="N29" s="58" t="s">
        <v>7</v>
      </c>
    </row>
    <row r="30" spans="1:14" x14ac:dyDescent="0.2">
      <c r="A30" s="14" t="s">
        <v>351</v>
      </c>
      <c r="B30" s="18" t="s">
        <v>353</v>
      </c>
      <c r="C30" s="18" t="s">
        <v>159</v>
      </c>
      <c r="D30" s="18"/>
      <c r="E30" s="18"/>
      <c r="F30" s="57"/>
      <c r="G30" s="57"/>
      <c r="H30" s="57"/>
      <c r="I30" s="57">
        <v>1</v>
      </c>
      <c r="J30" s="57"/>
      <c r="K30" s="57"/>
      <c r="L30" s="57"/>
      <c r="M30" s="85">
        <v>1</v>
      </c>
      <c r="N30" s="58" t="s">
        <v>7</v>
      </c>
    </row>
    <row r="31" spans="1:14" x14ac:dyDescent="0.2">
      <c r="A31" s="14" t="s">
        <v>395</v>
      </c>
      <c r="B31" s="18" t="s">
        <v>354</v>
      </c>
      <c r="C31" s="18" t="s">
        <v>159</v>
      </c>
      <c r="D31" s="18"/>
      <c r="E31" s="18"/>
      <c r="F31" s="57"/>
      <c r="G31" s="57"/>
      <c r="H31" s="57"/>
      <c r="I31" s="57">
        <v>2</v>
      </c>
      <c r="J31" s="57"/>
      <c r="K31" s="57"/>
      <c r="L31" s="57"/>
      <c r="M31" s="85">
        <v>3</v>
      </c>
      <c r="N31" s="58" t="s">
        <v>11</v>
      </c>
    </row>
    <row r="34" spans="1:14" x14ac:dyDescent="0.2">
      <c r="A34" s="425" t="s">
        <v>495</v>
      </c>
      <c r="B34" s="425"/>
      <c r="C34" s="425"/>
      <c r="D34" s="425"/>
      <c r="E34" s="425"/>
      <c r="F34" s="425"/>
      <c r="G34" s="425"/>
      <c r="H34" s="425"/>
      <c r="I34" s="425"/>
      <c r="J34" s="425"/>
      <c r="K34" s="425"/>
      <c r="L34" s="425"/>
      <c r="M34" s="346">
        <f>SUM(M35:M72)</f>
        <v>24</v>
      </c>
      <c r="N34" s="345"/>
    </row>
    <row r="35" spans="1:14" x14ac:dyDescent="0.2">
      <c r="A35" s="289" t="s">
        <v>219</v>
      </c>
      <c r="B35" s="284" t="s">
        <v>220</v>
      </c>
      <c r="C35" s="284" t="s">
        <v>136</v>
      </c>
      <c r="D35" s="284"/>
      <c r="E35" s="284"/>
      <c r="F35" s="285"/>
      <c r="G35" s="285"/>
      <c r="H35" s="285"/>
      <c r="I35" s="285">
        <v>2</v>
      </c>
      <c r="J35" s="285"/>
      <c r="K35" s="285"/>
      <c r="L35" s="285"/>
      <c r="M35" s="286">
        <v>3</v>
      </c>
      <c r="N35" s="290" t="s">
        <v>221</v>
      </c>
    </row>
    <row r="36" spans="1:14" x14ac:dyDescent="0.2">
      <c r="A36" s="277" t="s">
        <v>94</v>
      </c>
      <c r="B36" s="337" t="s">
        <v>95</v>
      </c>
      <c r="C36" s="337" t="s">
        <v>96</v>
      </c>
      <c r="D36" s="337" t="s">
        <v>97</v>
      </c>
      <c r="E36" s="337" t="s">
        <v>20</v>
      </c>
      <c r="F36" s="338"/>
      <c r="G36" s="338"/>
      <c r="H36" s="338"/>
      <c r="I36" s="338">
        <v>2</v>
      </c>
      <c r="J36" s="338"/>
      <c r="K36" s="338"/>
      <c r="L36" s="338"/>
      <c r="M36" s="280">
        <v>2</v>
      </c>
      <c r="N36" s="339" t="s">
        <v>7</v>
      </c>
    </row>
    <row r="37" spans="1:14" x14ac:dyDescent="0.2">
      <c r="A37" s="340" t="s">
        <v>98</v>
      </c>
      <c r="B37" s="341" t="s">
        <v>99</v>
      </c>
      <c r="C37" s="341" t="s">
        <v>96</v>
      </c>
      <c r="D37" s="341" t="s">
        <v>97</v>
      </c>
      <c r="E37" s="341" t="s">
        <v>20</v>
      </c>
      <c r="F37" s="342"/>
      <c r="G37" s="342"/>
      <c r="H37" s="342"/>
      <c r="I37" s="342">
        <v>2</v>
      </c>
      <c r="J37" s="342"/>
      <c r="K37" s="342"/>
      <c r="L37" s="342"/>
      <c r="M37" s="343">
        <v>3</v>
      </c>
      <c r="N37" s="344" t="s">
        <v>11</v>
      </c>
    </row>
    <row r="38" spans="1:14" x14ac:dyDescent="0.2">
      <c r="A38" s="277" t="s">
        <v>227</v>
      </c>
      <c r="B38" s="284" t="s">
        <v>148</v>
      </c>
      <c r="C38" s="284" t="s">
        <v>66</v>
      </c>
      <c r="D38" s="288" t="s">
        <v>204</v>
      </c>
      <c r="E38" s="284" t="s">
        <v>20</v>
      </c>
      <c r="F38" s="285"/>
      <c r="G38" s="285"/>
      <c r="H38" s="285"/>
      <c r="I38" s="285">
        <v>1</v>
      </c>
      <c r="J38" s="285"/>
      <c r="K38" s="285"/>
      <c r="L38" s="285"/>
      <c r="M38" s="285">
        <v>1</v>
      </c>
      <c r="N38" s="281" t="s">
        <v>7</v>
      </c>
    </row>
    <row r="39" spans="1:14" x14ac:dyDescent="0.2">
      <c r="A39" s="277" t="s">
        <v>228</v>
      </c>
      <c r="B39" s="284" t="s">
        <v>149</v>
      </c>
      <c r="C39" s="284" t="s">
        <v>66</v>
      </c>
      <c r="D39" s="288" t="s">
        <v>204</v>
      </c>
      <c r="E39" s="284" t="s">
        <v>20</v>
      </c>
      <c r="F39" s="285"/>
      <c r="G39" s="285"/>
      <c r="H39" s="285"/>
      <c r="I39" s="285">
        <v>2</v>
      </c>
      <c r="J39" s="285"/>
      <c r="K39" s="285"/>
      <c r="L39" s="285"/>
      <c r="M39" s="285">
        <v>2</v>
      </c>
      <c r="N39" s="281" t="s">
        <v>11</v>
      </c>
    </row>
    <row r="40" spans="1:14" x14ac:dyDescent="0.2">
      <c r="A40" s="277" t="s">
        <v>338</v>
      </c>
      <c r="B40" s="337" t="s">
        <v>339</v>
      </c>
      <c r="C40" s="337" t="s">
        <v>341</v>
      </c>
      <c r="D40" s="337"/>
      <c r="E40" s="337"/>
      <c r="F40" s="338"/>
      <c r="G40" s="338"/>
      <c r="H40" s="338"/>
      <c r="I40" s="338"/>
      <c r="J40" s="338"/>
      <c r="K40" s="338">
        <v>1</v>
      </c>
      <c r="L40" s="338"/>
      <c r="M40" s="280">
        <v>2</v>
      </c>
      <c r="N40" s="339" t="s">
        <v>7</v>
      </c>
    </row>
    <row r="41" spans="1:14" x14ac:dyDescent="0.2">
      <c r="A41" s="277" t="s">
        <v>343</v>
      </c>
      <c r="B41" s="337" t="s">
        <v>340</v>
      </c>
      <c r="C41" s="337" t="s">
        <v>341</v>
      </c>
      <c r="D41" s="337"/>
      <c r="E41" s="337"/>
      <c r="F41" s="338"/>
      <c r="G41" s="338"/>
      <c r="H41" s="338"/>
      <c r="I41" s="338"/>
      <c r="J41" s="338"/>
      <c r="K41" s="338">
        <v>2</v>
      </c>
      <c r="L41" s="338"/>
      <c r="M41" s="280">
        <v>2</v>
      </c>
      <c r="N41" s="339" t="s">
        <v>11</v>
      </c>
    </row>
    <row r="42" spans="1:14" x14ac:dyDescent="0.2">
      <c r="A42" s="14" t="s">
        <v>351</v>
      </c>
      <c r="B42" s="18" t="s">
        <v>353</v>
      </c>
      <c r="C42" s="18" t="s">
        <v>159</v>
      </c>
      <c r="D42" s="18"/>
      <c r="E42" s="18"/>
      <c r="F42" s="57"/>
      <c r="G42" s="57"/>
      <c r="H42" s="57"/>
      <c r="I42" s="57">
        <v>1</v>
      </c>
      <c r="J42" s="57"/>
      <c r="K42" s="57"/>
      <c r="L42" s="57"/>
      <c r="M42" s="85">
        <v>1</v>
      </c>
      <c r="N42" s="58" t="s">
        <v>7</v>
      </c>
    </row>
    <row r="43" spans="1:14" x14ac:dyDescent="0.2">
      <c r="A43" s="14" t="s">
        <v>395</v>
      </c>
      <c r="B43" s="18" t="s">
        <v>354</v>
      </c>
      <c r="C43" s="18" t="s">
        <v>159</v>
      </c>
      <c r="D43" s="18"/>
      <c r="E43" s="18"/>
      <c r="F43" s="57"/>
      <c r="G43" s="57"/>
      <c r="H43" s="57"/>
      <c r="I43" s="57">
        <v>2</v>
      </c>
      <c r="J43" s="57"/>
      <c r="K43" s="57"/>
      <c r="L43" s="57"/>
      <c r="M43" s="85">
        <v>3</v>
      </c>
      <c r="N43" s="58" t="s">
        <v>11</v>
      </c>
    </row>
    <row r="44" spans="1:14" x14ac:dyDescent="0.2">
      <c r="A44" s="332" t="s">
        <v>233</v>
      </c>
      <c r="B44" s="333" t="s">
        <v>154</v>
      </c>
      <c r="C44" s="333" t="s">
        <v>80</v>
      </c>
      <c r="D44" s="333" t="s">
        <v>276</v>
      </c>
      <c r="E44" s="333" t="s">
        <v>20</v>
      </c>
      <c r="F44" s="334"/>
      <c r="G44" s="334"/>
      <c r="H44" s="334"/>
      <c r="I44" s="334"/>
      <c r="J44" s="334"/>
      <c r="K44" s="334">
        <v>2</v>
      </c>
      <c r="L44" s="334"/>
      <c r="M44" s="335">
        <v>2</v>
      </c>
      <c r="N44" s="336" t="s">
        <v>7</v>
      </c>
    </row>
    <row r="45" spans="1:14" x14ac:dyDescent="0.2">
      <c r="A45" s="332" t="s">
        <v>234</v>
      </c>
      <c r="B45" s="333" t="s">
        <v>155</v>
      </c>
      <c r="C45" s="333" t="s">
        <v>80</v>
      </c>
      <c r="D45" s="333" t="s">
        <v>276</v>
      </c>
      <c r="E45" s="333" t="s">
        <v>20</v>
      </c>
      <c r="F45" s="334"/>
      <c r="G45" s="334"/>
      <c r="H45" s="334"/>
      <c r="I45" s="334"/>
      <c r="J45" s="334"/>
      <c r="K45" s="334">
        <v>2</v>
      </c>
      <c r="L45" s="334"/>
      <c r="M45" s="335">
        <v>3</v>
      </c>
      <c r="N45" s="336" t="s">
        <v>11</v>
      </c>
    </row>
  </sheetData>
  <mergeCells count="19">
    <mergeCell ref="A13:N13"/>
    <mergeCell ref="A22:N22"/>
    <mergeCell ref="A34:L34"/>
    <mergeCell ref="O3:O5"/>
    <mergeCell ref="P4:P5"/>
    <mergeCell ref="Q4:Q5"/>
    <mergeCell ref="R4:R5"/>
    <mergeCell ref="F5:L5"/>
    <mergeCell ref="A12:N12"/>
    <mergeCell ref="A1:N1"/>
    <mergeCell ref="C2:D2"/>
    <mergeCell ref="A3:A5"/>
    <mergeCell ref="B3:B5"/>
    <mergeCell ref="C3:C5"/>
    <mergeCell ref="D3:D5"/>
    <mergeCell ref="E3:E5"/>
    <mergeCell ref="F3:L3"/>
    <mergeCell ref="M3:M5"/>
    <mergeCell ref="N3:N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2" sqref="B12"/>
    </sheetView>
  </sheetViews>
  <sheetFormatPr defaultRowHeight="12.75" x14ac:dyDescent="0.2"/>
  <cols>
    <col min="1" max="1" width="38.42578125" bestFit="1" customWidth="1"/>
    <col min="2" max="2" width="114.5703125" customWidth="1"/>
  </cols>
  <sheetData>
    <row r="1" spans="1:2" ht="219" customHeight="1" x14ac:dyDescent="0.2">
      <c r="A1" s="10" t="s">
        <v>390</v>
      </c>
      <c r="B1" s="12" t="s">
        <v>391</v>
      </c>
    </row>
    <row r="2" spans="1:2" ht="155.1" customHeight="1" x14ac:dyDescent="0.2">
      <c r="A2" s="11" t="s">
        <v>385</v>
      </c>
      <c r="B2" s="12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PTI_MI_spec</vt:lpstr>
      <vt:lpstr>Felvenni_Last</vt:lpstr>
      <vt:lpstr>Validált MI ismeretek</vt:lpstr>
      <vt:lpstr>PTI_MI_spec!Nyomtatási_cím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Tünde</dc:creator>
  <cp:lastModifiedBy>Patrik Puskás</cp:lastModifiedBy>
  <cp:lastPrinted>2023-08-28T11:18:07Z</cp:lastPrinted>
  <dcterms:created xsi:type="dcterms:W3CDTF">2020-03-30T16:45:38Z</dcterms:created>
  <dcterms:modified xsi:type="dcterms:W3CDTF">2025-12-05T09:24:30Z</dcterms:modified>
</cp:coreProperties>
</file>